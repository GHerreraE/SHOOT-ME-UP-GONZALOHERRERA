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y78dal\Documents\GitHub\SHOOT-ME-UP-GONZALOHERRERA\P_DB (M. Mveng)\"/>
    </mc:Choice>
  </mc:AlternateContent>
  <xr:revisionPtr revIDLastSave="0" documentId="13_ncr:1_{D7196D72-2557-4E6A-A392-B3DB5F20CC8B}" xr6:coauthVersionLast="47" xr6:coauthVersionMax="47" xr10:uidLastSave="{00000000-0000-0000-0000-000000000000}"/>
  <bookViews>
    <workbookView xWindow="-120" yWindow="-120" windowWidth="29040" windowHeight="15840" activeTab="6" xr2:uid="{00000000-000D-0000-FFFF-FFFF00000000}"/>
  </bookViews>
  <sheets>
    <sheet name="Donnees" sheetId="7" r:id="rId1"/>
    <sheet name="DiagramHeader" sheetId="10" state="hidden" r:id="rId2"/>
    <sheet name="DiagramFooter" sheetId="130" state="hidden" r:id="rId3"/>
    <sheet name="PlanificationWeek" sheetId="11" state="hidden" r:id="rId4"/>
    <sheet name="Planning" sheetId="155" r:id="rId5"/>
    <sheet name="achievementWeek" sheetId="154" state="hidden" r:id="rId6"/>
    <sheet name="JNLTRAV" sheetId="156" r:id="rId7"/>
  </sheets>
  <definedNames>
    <definedName name="datDateBegin">Donnees!$C$9</definedName>
    <definedName name="lstTasks">Donnees!$C$20:$C$45</definedName>
    <definedName name="NbPerWeek">Donnees!$C$12</definedName>
    <definedName name="NbQuartPer">Donnees!$C$13</definedName>
    <definedName name="NbWeeks">Donnees!$C$11</definedName>
    <definedName name="objFooterDiagram">DiagramFooter!$B$3:$C$4</definedName>
    <definedName name="objPlanifWeek" localSheetId="4">Planning!$A$1:$D$14</definedName>
    <definedName name="objPlanifWeek">PlanificationWeek!$A$1:$D$14</definedName>
    <definedName name="objRealizedWeek" localSheetId="5">achievementWeek!$A$1:$D$19</definedName>
    <definedName name="objRealizedWeek" localSheetId="6">JNLTRAV!$A$1:$D$19</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34" i="156" l="1"/>
  <c r="D115" i="156"/>
  <c r="D96" i="156"/>
  <c r="D77" i="156"/>
  <c r="D58" i="156"/>
  <c r="D39" i="156"/>
  <c r="D20" i="156"/>
  <c r="D1" i="156"/>
  <c r="B151" i="156"/>
  <c r="B132" i="156"/>
  <c r="B113" i="156"/>
  <c r="B94" i="156"/>
  <c r="B75" i="156"/>
  <c r="B56" i="156"/>
  <c r="B37" i="156"/>
  <c r="B18" i="156"/>
  <c r="B111" i="155"/>
  <c r="B97" i="155"/>
  <c r="B83" i="155"/>
  <c r="B69" i="155"/>
  <c r="B55" i="155"/>
  <c r="B41" i="155"/>
  <c r="B27" i="155"/>
  <c r="B13" i="155"/>
  <c r="B18" i="154"/>
  <c r="B13" i="11" l="1"/>
</calcChain>
</file>

<file path=xl/sharedStrings.xml><?xml version="1.0" encoding="utf-8"?>
<sst xmlns="http://schemas.openxmlformats.org/spreadsheetml/2006/main" count="257" uniqueCount="89">
  <si>
    <t>Module :</t>
  </si>
  <si>
    <t>Classe :</t>
  </si>
  <si>
    <t>Lieu :</t>
  </si>
  <si>
    <t>Tâche</t>
  </si>
  <si>
    <t>Prénom - nom :</t>
  </si>
  <si>
    <t>Tâches - objectifs</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</si>
  <si>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</si>
  <si>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</si>
  <si>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</si>
  <si>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</si>
  <si>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</si>
  <si>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</si>
  <si>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</si>
  <si>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</si>
  <si>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</si>
  <si>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</si>
  <si>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</si>
  <si>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</si>
  <si>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</si>
  <si>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</si>
  <si>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</si>
  <si>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</si>
  <si>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</si>
  <si>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P_DB</t>
  </si>
  <si>
    <t>Gonzalo Javier Herrera Egoavil</t>
  </si>
  <si>
    <t>CID2B</t>
  </si>
  <si>
    <t>Vennes - Lausanne</t>
  </si>
  <si>
    <t>Max. 9</t>
  </si>
  <si>
    <t>STOP</t>
  </si>
  <si>
    <t>Introduction</t>
  </si>
  <si>
    <t>Cahier de charges</t>
  </si>
  <si>
    <t>Journal de travail</t>
  </si>
  <si>
    <t>Planification</t>
  </si>
  <si>
    <t>Améliorations</t>
  </si>
  <si>
    <t>Correction de vocabulaire</t>
  </si>
  <si>
    <t>Rendu du projet</t>
  </si>
  <si>
    <t>Evaluation de 50%</t>
  </si>
  <si>
    <t>MCD</t>
  </si>
  <si>
    <t>MLD - Looping</t>
  </si>
  <si>
    <t>MCD - Looping</t>
  </si>
  <si>
    <t>Base de données</t>
  </si>
  <si>
    <t>Verification de MCD</t>
  </si>
  <si>
    <t>Manipulation DB</t>
  </si>
  <si>
    <t>Requetes SQL</t>
  </si>
  <si>
    <t>Type d'utilisateurs</t>
  </si>
  <si>
    <t>Introduction du projet de la part du professeur</t>
  </si>
  <si>
    <t>Modification et comprension du cahier de charges</t>
  </si>
  <si>
    <t>Faire une partie de la planification</t>
  </si>
  <si>
    <t>Avancer le journal de travail</t>
  </si>
  <si>
    <t>Finir la planification des semaines</t>
  </si>
  <si>
    <t>Avancer avec le MLC avec Looping</t>
  </si>
  <si>
    <t>Vérification que le MLD ait du sens à fin de pouvoir faire des améliorations dans le MCD</t>
  </si>
  <si>
    <t>Changer et améliorer mon MCD</t>
  </si>
  <si>
    <t>Vérifier mon MCD avec l'aide ou support d'un professeur. Dans le cas qu'ils ne puissent pas, alors j'utiliserai ChatGPT pour le faire.</t>
  </si>
  <si>
    <t>Exporter le SQL de Looping à fin d'avoir les tables pour ma basse de donné.</t>
  </si>
  <si>
    <t>Modifier mon fichier SQL à fin de pouvoir l'importer dans MYSQL puis pouvoir manipuler la basse de donnée. Avant cela, vérifier les FK, PK, ETC</t>
  </si>
  <si>
    <t xml:space="preserve">Demander à ChatGPT de me donner des données fauses pour mettre dans mon DB puis les introduire par la console. </t>
  </si>
  <si>
    <t>Avancer le journal de travail de la semaine précedent et cette semaine.</t>
  </si>
  <si>
    <t>Attendre l'evaluation de 50% pour pouvoir faire des améliorations sur ma basse de donnée</t>
  </si>
  <si>
    <t>Rapport</t>
  </si>
  <si>
    <t>Avancer le rapport avec les données obtenus pour l'instant</t>
  </si>
  <si>
    <t>Avancer les amélioratios obtenus grâce à l'evaluation</t>
  </si>
  <si>
    <t>Avancer le rapport, ajouter les requetes.</t>
  </si>
  <si>
    <t>Faire les requetes demandés, tester et vérifier (A finir)</t>
  </si>
  <si>
    <t xml:space="preserve">Finir avec les requetes sql et les vérifier </t>
  </si>
  <si>
    <t>Ajouter les nouvelles requetes et commencer à vérifier que cette partie de DB il ne manque rien</t>
  </si>
  <si>
    <t>Avancer le journal de travail, reviser et faire des correction de orthographe. Aussi mettre des liens de references s'il faut.</t>
  </si>
  <si>
    <t>Faire de correction comment le mise en page, orthographe, données, position de photos et etc. De facons que ca soit bien lisible et comprensible.</t>
  </si>
  <si>
    <t>Faire les dernières corrections et les dernières lignes de journal de travail.</t>
  </si>
  <si>
    <t>Vérifier que dans le repos ait tout ce qu'il faut pour bien rendre le projet. A vérifier avec le cahier de charges.</t>
  </si>
  <si>
    <t>s</t>
  </si>
  <si>
    <t>Introduction du projet par la part du professeur</t>
  </si>
  <si>
    <t>Planning</t>
  </si>
  <si>
    <t>Avancer avec le journal de travail, mais ca reste à finir puisque le cahier de charges n'est pas complet.</t>
  </si>
  <si>
    <t>Avancer le rapport avec les sujets qu'on aura besoin. Pareil que le planning, à finir à cause de manque d'information pour ce projet.</t>
  </si>
  <si>
    <t>J'ai avancé et j'ai fini le planning. Les informations manquant ont été données et j'ai pu finir le planning pour toutes les semaines.</t>
  </si>
  <si>
    <t xml:space="preserve">J'ai avancé un peu le MCD. Il manque créer quelques tables. </t>
  </si>
  <si>
    <t>J'ai fait le journal de travail pour la semaine passée et cette semaine.</t>
  </si>
  <si>
    <t>SQL</t>
  </si>
  <si>
    <t>J'ai travaillé et fait des exercices qui me permettron manipuler et créer ma basse de donnée avec la console pour ce projet.</t>
  </si>
  <si>
    <t>J'ai travaillé avec looping, mais il y a encore des tableaux vides puisque chaque fois il y a de nouvelles consignes et on faire faire de changements. Pour la semaine prochaine devra etre fini.</t>
  </si>
  <si>
    <t>J'ai avancé mon journal de travail de cette semaine.</t>
  </si>
  <si>
    <t>On a fait le premier test du module I106.</t>
  </si>
  <si>
    <t>J'ai travaillé un peu sur mon MCD avec Looping mais après je me suis rendu compte que je devais changer un peu tout et attendre à la semaine prochaine pour avoir un peu plus claire les tables que je vais faire puisque en POO j'ai decidée de changer en mode console.</t>
  </si>
  <si>
    <t>J'ai fait la structure de mon rapport pour y travailler les semanes suivantes.</t>
  </si>
  <si>
    <t>J'ai complété le journal de travail de la semaine 4 et aussi de cette semaine.</t>
  </si>
  <si>
    <t xml:space="preserve">Journal de travail </t>
  </si>
  <si>
    <t>J'ai travaillé sur mon MCD, j'ai crée des nouvelles tables, j'ai fais le liens avec les carnalités puis je pense que j'ai fini avec cela. Peut etre il reste faire des ameliorations en rapport avec les nouvelles normes de codage ETML</t>
  </si>
  <si>
    <t>j'ai fait mon journal de travail de cette semaine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</si>
</sst>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17"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s>
  <fills count="14">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s>
  <borders count="3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99">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9" fillId="4" borderId="13" xfId="0" applyFont="1" applyFill="1" applyBorder="1" applyAlignment="1" applyProtection="1">
      <alignment horizontal="left" vertical="top" wrapText="1"/>
    </xf>
    <xf numFmtId="0" fontId="16" fillId="9" borderId="0" xfId="0" applyFont="1" applyFill="1"/>
    <xf numFmtId="0" fontId="9" fillId="12" borderId="13" xfId="0" applyFont="1" applyFill="1" applyBorder="1" applyAlignment="1" applyProtection="1">
      <alignment horizontal="left" vertical="top" wrapText="1"/>
    </xf>
    <xf numFmtId="0" fontId="0" fillId="0" borderId="1" xfId="1" applyFont="1" applyFill="1" applyBorder="1" applyAlignment="1" applyProtection="1">
      <alignment horizontal="center" vertical="center" wrapText="1"/>
      <protection locked="0"/>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0" fillId="0" borderId="2" xfId="1" applyFont="1" applyFill="1" applyBorder="1" applyAlignment="1" applyProtection="1">
      <alignment horizontal="center" vertical="center" wrapText="1"/>
      <protection locked="0"/>
    </xf>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0" fontId="0" fillId="7" borderId="19" xfId="0" applyFill="1" applyBorder="1"/>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9937" name="btnImportPlanification" hidden="1">
              <a:extLst>
                <a:ext uri="{63B3BB69-23CF-44E3-9099-C40C66FF867C}">
                  <a14:compatExt spid="_x0000_s39937"/>
                </a:ext>
                <a:ext uri="{FF2B5EF4-FFF2-40B4-BE49-F238E27FC236}">
                  <a16:creationId xmlns:a16="http://schemas.microsoft.com/office/drawing/2014/main" id="{00000000-0008-0000-0400-000001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5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0961" name="btnImportRealisation" hidden="1">
              <a:extLst>
                <a:ext uri="{63B3BB69-23CF-44E3-9099-C40C66FF867C}">
                  <a14:compatExt spid="_x0000_s40961"/>
                </a:ext>
                <a:ext uri="{FF2B5EF4-FFF2-40B4-BE49-F238E27FC236}">
                  <a16:creationId xmlns:a16="http://schemas.microsoft.com/office/drawing/2014/main" id="{00000000-0008-0000-0600-000001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7.emf"/><Relationship Id="rId4" Type="http://schemas.openxmlformats.org/officeDocument/2006/relationships/control" Target="../activeX/activeX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8.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M73"/>
  <sheetViews>
    <sheetView view="pageBreakPreview" topLeftCell="B11" zoomScaleNormal="100" zoomScaleSheetLayoutView="100" workbookViewId="0">
      <selection activeCell="C37" sqref="C37"/>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0</v>
      </c>
      <c r="C3" s="63" t="s">
        <v>23</v>
      </c>
      <c r="D3" s="60"/>
      <c r="E3" s="60"/>
      <c r="F3" s="60"/>
      <c r="G3" s="61"/>
    </row>
    <row r="4" spans="1:7" ht="20.25" x14ac:dyDescent="0.25">
      <c r="A4" s="59"/>
      <c r="B4" s="64" t="s">
        <v>4</v>
      </c>
      <c r="C4" s="65" t="s">
        <v>24</v>
      </c>
      <c r="D4" s="60"/>
      <c r="E4" s="60"/>
      <c r="F4" s="60"/>
      <c r="G4" s="61"/>
    </row>
    <row r="5" spans="1:7" ht="20.25" x14ac:dyDescent="0.25">
      <c r="A5" s="59"/>
      <c r="B5" s="64" t="s">
        <v>1</v>
      </c>
      <c r="C5" s="65" t="s">
        <v>25</v>
      </c>
      <c r="D5" s="60"/>
      <c r="E5" s="60"/>
      <c r="F5" s="60"/>
      <c r="G5" s="61"/>
    </row>
    <row r="6" spans="1:7" ht="21" thickBot="1" x14ac:dyDescent="0.3">
      <c r="A6" s="59"/>
      <c r="B6" s="66" t="s">
        <v>2</v>
      </c>
      <c r="C6" s="67" t="s">
        <v>26</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8</v>
      </c>
      <c r="C9" s="68">
        <v>45532</v>
      </c>
      <c r="D9" s="60"/>
      <c r="E9" s="60"/>
      <c r="F9" s="60"/>
      <c r="G9" s="61"/>
    </row>
    <row r="10" spans="1:7" ht="20.25" x14ac:dyDescent="0.25">
      <c r="A10" s="59"/>
      <c r="B10" s="69" t="s">
        <v>7</v>
      </c>
      <c r="C10" s="70">
        <v>45597</v>
      </c>
      <c r="D10" s="60"/>
      <c r="E10" s="60"/>
      <c r="F10" s="60"/>
      <c r="G10" s="61"/>
    </row>
    <row r="11" spans="1:7" ht="20.25" x14ac:dyDescent="0.25">
      <c r="A11" s="59"/>
      <c r="B11" s="69" t="s">
        <v>9</v>
      </c>
      <c r="C11" s="71">
        <v>8</v>
      </c>
      <c r="D11" s="60"/>
      <c r="E11" s="60"/>
      <c r="F11" s="60"/>
      <c r="G11" s="61"/>
    </row>
    <row r="12" spans="1:7" ht="20.25" x14ac:dyDescent="0.25">
      <c r="A12" s="59"/>
      <c r="B12" s="64" t="s">
        <v>10</v>
      </c>
      <c r="C12" s="72">
        <v>3</v>
      </c>
      <c r="D12" s="60"/>
      <c r="E12" s="60"/>
      <c r="F12" s="60"/>
      <c r="G12" s="61"/>
    </row>
    <row r="13" spans="1:7" ht="20.25" x14ac:dyDescent="0.25">
      <c r="A13" s="59"/>
      <c r="B13" s="64" t="s">
        <v>11</v>
      </c>
      <c r="C13" s="72">
        <v>3</v>
      </c>
      <c r="D13" s="60"/>
      <c r="E13" s="60"/>
      <c r="F13" s="60"/>
      <c r="G13" s="61"/>
    </row>
    <row r="14" spans="1:7" ht="20.25" thickBot="1" x14ac:dyDescent="0.3">
      <c r="A14" s="59"/>
      <c r="B14" s="73"/>
      <c r="C14" s="74"/>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95" t="s">
        <v>18</v>
      </c>
      <c r="C19" s="96"/>
      <c r="D19" s="60"/>
      <c r="E19" s="60"/>
      <c r="F19" s="60"/>
      <c r="G19" s="61"/>
    </row>
    <row r="20" spans="1:13" ht="20.25" x14ac:dyDescent="0.25">
      <c r="A20" s="79"/>
      <c r="B20" s="80" t="s">
        <v>19</v>
      </c>
      <c r="C20" s="81" t="s">
        <v>20</v>
      </c>
      <c r="D20" s="60"/>
      <c r="E20" s="60"/>
      <c r="F20" s="60"/>
      <c r="G20" s="61"/>
    </row>
    <row r="21" spans="1:13" ht="20.25" x14ac:dyDescent="0.25">
      <c r="A21" s="79"/>
      <c r="B21" s="80">
        <v>1</v>
      </c>
      <c r="C21" s="70" t="s">
        <v>29</v>
      </c>
      <c r="D21" s="60"/>
      <c r="E21" s="60"/>
      <c r="F21" s="60"/>
      <c r="G21" s="61"/>
    </row>
    <row r="22" spans="1:13" ht="20.25" x14ac:dyDescent="0.25">
      <c r="A22" s="79"/>
      <c r="B22" s="80">
        <v>2</v>
      </c>
      <c r="C22" s="71" t="s">
        <v>30</v>
      </c>
      <c r="D22" s="60"/>
      <c r="E22" s="60"/>
      <c r="F22" s="60"/>
      <c r="G22" s="61"/>
    </row>
    <row r="23" spans="1:13" ht="20.25" x14ac:dyDescent="0.25">
      <c r="A23" s="79"/>
      <c r="B23" s="82">
        <v>3</v>
      </c>
      <c r="C23" s="71" t="s">
        <v>31</v>
      </c>
      <c r="D23" s="60"/>
      <c r="E23" s="60"/>
      <c r="F23" s="60"/>
      <c r="G23" s="61"/>
    </row>
    <row r="24" spans="1:13" ht="20.25" x14ac:dyDescent="0.25">
      <c r="A24" s="79"/>
      <c r="B24" s="80">
        <v>4</v>
      </c>
      <c r="C24" s="71" t="s">
        <v>32</v>
      </c>
      <c r="D24" s="60"/>
      <c r="E24" s="60"/>
      <c r="F24" s="60"/>
      <c r="G24" s="61"/>
    </row>
    <row r="25" spans="1:13" ht="20.25" x14ac:dyDescent="0.25">
      <c r="A25" s="79"/>
      <c r="B25" s="80">
        <v>5</v>
      </c>
      <c r="C25" s="71" t="s">
        <v>33</v>
      </c>
      <c r="D25" s="60"/>
      <c r="E25" s="60"/>
      <c r="F25" s="60"/>
      <c r="G25" s="61"/>
    </row>
    <row r="26" spans="1:13" ht="20.25" x14ac:dyDescent="0.25">
      <c r="A26" s="79"/>
      <c r="B26" s="82">
        <v>6</v>
      </c>
      <c r="C26" s="71" t="s">
        <v>34</v>
      </c>
      <c r="D26" s="60"/>
      <c r="E26" s="60"/>
      <c r="F26" s="60"/>
      <c r="G26" s="61"/>
    </row>
    <row r="27" spans="1:13" ht="20.25" x14ac:dyDescent="0.25">
      <c r="A27" s="79"/>
      <c r="B27" s="80">
        <v>7</v>
      </c>
      <c r="C27" s="71" t="s">
        <v>35</v>
      </c>
      <c r="D27" s="60"/>
      <c r="E27" s="60"/>
      <c r="F27" s="60"/>
      <c r="G27" s="61"/>
    </row>
    <row r="28" spans="1:13" ht="20.25" x14ac:dyDescent="0.25">
      <c r="A28" s="79"/>
      <c r="B28" s="80">
        <v>8</v>
      </c>
      <c r="C28" s="72" t="s">
        <v>36</v>
      </c>
      <c r="D28" s="60"/>
      <c r="E28" s="60"/>
      <c r="F28" s="60"/>
      <c r="G28" s="61"/>
    </row>
    <row r="29" spans="1:13" ht="20.25" x14ac:dyDescent="0.25">
      <c r="A29" s="79"/>
      <c r="B29" s="82">
        <v>9</v>
      </c>
      <c r="C29" s="72" t="s">
        <v>38</v>
      </c>
      <c r="D29" s="60"/>
      <c r="E29" s="60"/>
      <c r="F29" s="60"/>
      <c r="G29" s="61"/>
    </row>
    <row r="30" spans="1:13" ht="20.25" x14ac:dyDescent="0.25">
      <c r="A30" s="79"/>
      <c r="B30" s="80">
        <v>10</v>
      </c>
      <c r="C30" s="71" t="s">
        <v>39</v>
      </c>
      <c r="D30" s="60"/>
      <c r="E30" s="60"/>
      <c r="F30" s="60"/>
      <c r="G30" s="61"/>
    </row>
    <row r="31" spans="1:13" ht="20.25" x14ac:dyDescent="0.25">
      <c r="A31" s="79"/>
      <c r="B31" s="80">
        <v>11</v>
      </c>
      <c r="C31" s="71" t="s">
        <v>40</v>
      </c>
      <c r="D31" s="60"/>
      <c r="E31" s="60"/>
      <c r="F31" s="60"/>
      <c r="G31" s="61"/>
      <c r="H31" s="83"/>
      <c r="I31" s="83"/>
      <c r="J31" s="83"/>
      <c r="K31" s="83"/>
      <c r="L31" s="83"/>
      <c r="M31" s="83"/>
    </row>
    <row r="32" spans="1:13" ht="20.25" x14ac:dyDescent="0.25">
      <c r="A32" s="79"/>
      <c r="B32" s="82">
        <v>12</v>
      </c>
      <c r="C32" s="71" t="s">
        <v>41</v>
      </c>
      <c r="D32" s="60"/>
      <c r="E32" s="60"/>
      <c r="F32" s="60"/>
      <c r="G32" s="61"/>
      <c r="H32" s="83"/>
      <c r="I32" s="83"/>
      <c r="J32" s="83"/>
      <c r="K32" s="83"/>
      <c r="L32" s="83"/>
      <c r="M32" s="83"/>
    </row>
    <row r="33" spans="1:13" ht="20.25" x14ac:dyDescent="0.25">
      <c r="A33" s="79"/>
      <c r="B33" s="80">
        <v>13</v>
      </c>
      <c r="C33" s="71" t="s">
        <v>42</v>
      </c>
      <c r="D33" s="60"/>
      <c r="E33" s="60"/>
      <c r="F33" s="60"/>
      <c r="G33" s="61"/>
      <c r="H33" s="83"/>
      <c r="I33" s="83"/>
      <c r="J33" s="83"/>
      <c r="K33" s="83"/>
      <c r="L33" s="83"/>
      <c r="M33" s="83"/>
    </row>
    <row r="34" spans="1:13" ht="20.25" x14ac:dyDescent="0.25">
      <c r="A34" s="79"/>
      <c r="B34" s="80">
        <v>14</v>
      </c>
      <c r="C34" s="72" t="s">
        <v>43</v>
      </c>
      <c r="D34" s="60"/>
      <c r="E34" s="60"/>
      <c r="F34" s="60"/>
      <c r="G34" s="61"/>
      <c r="H34" s="83"/>
      <c r="I34" s="83"/>
      <c r="J34" s="83"/>
      <c r="K34" s="83"/>
      <c r="L34" s="83"/>
      <c r="M34" s="83"/>
    </row>
    <row r="35" spans="1:13" ht="20.25" x14ac:dyDescent="0.25">
      <c r="A35" s="79"/>
      <c r="B35" s="82">
        <v>15</v>
      </c>
      <c r="C35" s="72" t="s">
        <v>44</v>
      </c>
      <c r="D35" s="60"/>
      <c r="E35" s="60"/>
      <c r="F35" s="60"/>
      <c r="G35" s="61"/>
      <c r="H35" s="83"/>
      <c r="I35" s="83"/>
      <c r="J35" s="83"/>
      <c r="K35" s="83"/>
      <c r="L35" s="83"/>
      <c r="M35" s="83"/>
    </row>
    <row r="36" spans="1:13" ht="20.25" x14ac:dyDescent="0.25">
      <c r="A36" s="79"/>
      <c r="B36" s="80">
        <v>16</v>
      </c>
      <c r="C36" s="71" t="s">
        <v>59</v>
      </c>
      <c r="D36" s="60"/>
      <c r="E36" s="60"/>
      <c r="F36" s="60"/>
      <c r="G36" s="61"/>
      <c r="H36" s="83"/>
      <c r="I36" s="83"/>
      <c r="J36" s="83"/>
      <c r="K36" s="83"/>
      <c r="L36" s="83"/>
      <c r="M36" s="83"/>
    </row>
    <row r="37" spans="1:13" ht="20.25" x14ac:dyDescent="0.25">
      <c r="A37" s="79"/>
      <c r="B37" s="80">
        <v>17</v>
      </c>
      <c r="C37" s="71"/>
      <c r="D37" s="60"/>
      <c r="E37" s="60"/>
      <c r="F37" s="60"/>
      <c r="G37" s="61"/>
      <c r="H37" s="83"/>
      <c r="I37" s="83"/>
      <c r="J37" s="83"/>
      <c r="K37" s="83"/>
      <c r="L37" s="83"/>
      <c r="M37" s="83"/>
    </row>
    <row r="38" spans="1:13" ht="20.25" x14ac:dyDescent="0.25">
      <c r="A38" s="79"/>
      <c r="B38" s="82">
        <v>18</v>
      </c>
      <c r="C38" s="71"/>
      <c r="D38" s="60"/>
      <c r="E38" s="60"/>
      <c r="F38" s="60"/>
      <c r="G38" s="61"/>
      <c r="H38" s="83"/>
      <c r="I38" s="83"/>
      <c r="J38" s="83"/>
      <c r="K38" s="83"/>
      <c r="L38" s="83"/>
      <c r="M38" s="83"/>
    </row>
    <row r="39" spans="1:13" ht="20.25" x14ac:dyDescent="0.25">
      <c r="A39" s="79"/>
      <c r="B39" s="80">
        <v>19</v>
      </c>
      <c r="C39" s="71"/>
      <c r="D39" s="60"/>
      <c r="E39" s="60"/>
      <c r="F39" s="60"/>
      <c r="G39" s="61"/>
      <c r="H39" s="83"/>
      <c r="I39" s="83"/>
      <c r="J39" s="83"/>
      <c r="K39" s="83"/>
      <c r="L39" s="83"/>
      <c r="M39" s="83"/>
    </row>
    <row r="40" spans="1:13" ht="20.25" x14ac:dyDescent="0.25">
      <c r="A40" s="79"/>
      <c r="B40" s="80">
        <v>20</v>
      </c>
      <c r="C40" s="72"/>
      <c r="D40" s="60"/>
      <c r="E40" s="60"/>
      <c r="F40" s="60"/>
      <c r="G40" s="61"/>
      <c r="H40" s="83"/>
      <c r="I40" s="83"/>
      <c r="J40" s="83"/>
      <c r="K40" s="83"/>
      <c r="L40" s="83"/>
      <c r="M40" s="83"/>
    </row>
    <row r="41" spans="1:13" ht="20.25" x14ac:dyDescent="0.25">
      <c r="A41" s="79"/>
      <c r="B41" s="82">
        <v>21</v>
      </c>
      <c r="C41" s="72"/>
      <c r="D41" s="60"/>
      <c r="E41" s="60"/>
      <c r="F41" s="60"/>
      <c r="G41" s="61"/>
      <c r="H41" s="83"/>
      <c r="I41" s="83"/>
      <c r="J41" s="83"/>
      <c r="K41" s="83"/>
      <c r="L41" s="83"/>
      <c r="M41" s="83"/>
    </row>
    <row r="42" spans="1:13" ht="20.25" x14ac:dyDescent="0.25">
      <c r="A42" s="79"/>
      <c r="B42" s="80">
        <v>22</v>
      </c>
      <c r="C42" s="71"/>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5" r:id="rId5" name="btnCreateWorkSheet">
          <controlPr defaultSize="0" autoLine="0" r:id="rId6">
            <anchor moveWithCells="1">
              <from>
                <xdr:col>4</xdr:col>
                <xdr:colOff>9525</xdr:colOff>
                <xdr:row>8</xdr:row>
                <xdr:rowOff>190500</xdr:rowOff>
              </from>
              <to>
                <xdr:col>6</xdr:col>
                <xdr:colOff>114300</xdr:colOff>
                <xdr:row>10</xdr:row>
                <xdr:rowOff>152400</xdr:rowOff>
              </to>
            </anchor>
          </controlPr>
        </control>
      </mc:Choice>
      <mc:Fallback>
        <control shapeId="15365" r:id="rId5" name="btnCreateWorkSheet"/>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4" r:id="rId9" name="btnCreatePlanning">
          <controlPr defaultSize="0" autoLine="0" r:id="rId10">
            <anchor moveWithCells="1">
              <from>
                <xdr:col>4</xdr:col>
                <xdr:colOff>9525</xdr:colOff>
                <xdr:row>5</xdr:row>
                <xdr:rowOff>9525</xdr:rowOff>
              </from>
              <to>
                <xdr:col>6</xdr:col>
                <xdr:colOff>95250</xdr:colOff>
                <xdr:row>7</xdr:row>
                <xdr:rowOff>47625</xdr:rowOff>
              </to>
            </anchor>
          </controlPr>
        </control>
      </mc:Choice>
      <mc:Fallback>
        <control shapeId="15364" r:id="rId9"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5</v>
      </c>
      <c r="C2" s="15" t="s">
        <v>17</v>
      </c>
    </row>
    <row r="3" spans="1:4" ht="19.5" customHeight="1" x14ac:dyDescent="0.25">
      <c r="A3" s="19"/>
      <c r="B3" s="97" t="s">
        <v>20</v>
      </c>
      <c r="C3" s="16">
        <v>0</v>
      </c>
    </row>
    <row r="4" spans="1:4" ht="19.5" customHeight="1" x14ac:dyDescent="0.25">
      <c r="A4" s="19"/>
      <c r="B4" s="98"/>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15</v>
      </c>
      <c r="C3" s="27">
        <v>0</v>
      </c>
    </row>
    <row r="4" spans="2:3" ht="18.75" thickBot="1" x14ac:dyDescent="0.3">
      <c r="B4" s="26" t="s">
        <v>16</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13</v>
      </c>
      <c r="B1" s="7">
        <v>1</v>
      </c>
      <c r="C1" s="17"/>
      <c r="D1" s="87"/>
    </row>
    <row r="2" spans="1:4" ht="27.75" thickBot="1" x14ac:dyDescent="0.3">
      <c r="A2" s="8" t="s">
        <v>3</v>
      </c>
      <c r="B2" s="18" t="s">
        <v>14</v>
      </c>
      <c r="C2" s="8" t="s">
        <v>6</v>
      </c>
      <c r="D2" s="8" t="s">
        <v>12</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21</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86DD5-BFE6-46DB-8EB7-747332CE9968}">
  <sheetPr codeName="Feuil5"/>
  <dimension ref="A1:I113"/>
  <sheetViews>
    <sheetView workbookViewId="0">
      <selection activeCell="C104" sqref="C104"/>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13</v>
      </c>
      <c r="B1" s="7">
        <v>1</v>
      </c>
      <c r="C1" s="17"/>
      <c r="D1" s="87"/>
    </row>
    <row r="2" spans="1:4" ht="27.75" thickBot="1" x14ac:dyDescent="0.3">
      <c r="A2" s="8" t="s">
        <v>3</v>
      </c>
      <c r="B2" s="18" t="s">
        <v>14</v>
      </c>
      <c r="C2" s="8" t="s">
        <v>6</v>
      </c>
      <c r="D2" s="8" t="s">
        <v>12</v>
      </c>
    </row>
    <row r="3" spans="1:4" s="53" customFormat="1" x14ac:dyDescent="0.25">
      <c r="A3" s="91" t="s">
        <v>29</v>
      </c>
      <c r="B3" s="4">
        <v>3</v>
      </c>
      <c r="C3" s="92" t="s">
        <v>45</v>
      </c>
      <c r="D3" s="9"/>
    </row>
    <row r="4" spans="1:4" s="53" customFormat="1" x14ac:dyDescent="0.25">
      <c r="A4" s="1" t="s">
        <v>30</v>
      </c>
      <c r="B4" s="2">
        <v>3</v>
      </c>
      <c r="C4" s="93" t="s">
        <v>46</v>
      </c>
      <c r="D4" s="10"/>
    </row>
    <row r="5" spans="1:4" s="53" customFormat="1" x14ac:dyDescent="0.25">
      <c r="A5" s="1" t="s">
        <v>32</v>
      </c>
      <c r="B5" s="2">
        <v>2</v>
      </c>
      <c r="C5" s="93" t="s">
        <v>47</v>
      </c>
      <c r="D5" s="10"/>
    </row>
    <row r="6" spans="1:4" s="53" customFormat="1" x14ac:dyDescent="0.25">
      <c r="A6" s="1" t="s">
        <v>31</v>
      </c>
      <c r="B6" s="2">
        <v>1</v>
      </c>
      <c r="C6" s="93" t="s">
        <v>48</v>
      </c>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21</v>
      </c>
      <c r="B13" s="12">
        <f>SUM(B3:B12)</f>
        <v>9</v>
      </c>
      <c r="C13" s="88" t="s">
        <v>27</v>
      </c>
      <c r="D13" s="13"/>
    </row>
    <row r="14" spans="1:4" ht="15" thickBot="1" x14ac:dyDescent="0.35">
      <c r="A14" s="14"/>
      <c r="B14" s="14"/>
      <c r="C14" s="14"/>
      <c r="D14" s="14"/>
    </row>
    <row r="15" spans="1:4" ht="18.75" thickBot="1" x14ac:dyDescent="0.3">
      <c r="A15" s="6" t="s">
        <v>13</v>
      </c>
      <c r="B15" s="7">
        <v>2</v>
      </c>
      <c r="C15" s="17"/>
      <c r="D15" s="87"/>
    </row>
    <row r="16" spans="1:4" ht="27.75" thickBot="1" x14ac:dyDescent="0.3">
      <c r="A16" s="8" t="s">
        <v>3</v>
      </c>
      <c r="B16" s="18" t="s">
        <v>14</v>
      </c>
      <c r="C16" s="8" t="s">
        <v>6</v>
      </c>
      <c r="D16" s="8" t="s">
        <v>12</v>
      </c>
    </row>
    <row r="17" spans="1:9" x14ac:dyDescent="0.25">
      <c r="A17" s="91" t="s">
        <v>32</v>
      </c>
      <c r="B17" s="4">
        <v>2</v>
      </c>
      <c r="C17" s="92" t="s">
        <v>49</v>
      </c>
      <c r="D17" s="9"/>
    </row>
    <row r="18" spans="1:9" x14ac:dyDescent="0.25">
      <c r="A18" s="94" t="s">
        <v>39</v>
      </c>
      <c r="B18" s="2">
        <v>6</v>
      </c>
      <c r="C18" s="93" t="s">
        <v>50</v>
      </c>
      <c r="D18" s="10"/>
    </row>
    <row r="19" spans="1:9" x14ac:dyDescent="0.25">
      <c r="A19" s="94" t="s">
        <v>31</v>
      </c>
      <c r="B19" s="2">
        <v>1</v>
      </c>
      <c r="C19" s="93" t="s">
        <v>48</v>
      </c>
      <c r="D19" s="10"/>
      <c r="E19" s="20"/>
      <c r="F19" s="20"/>
      <c r="G19" s="20"/>
      <c r="H19" s="20"/>
      <c r="I19" s="20"/>
    </row>
    <row r="20" spans="1:9" ht="12.75" customHeight="1" x14ac:dyDescent="0.25">
      <c r="A20" s="1"/>
      <c r="B20" s="2"/>
      <c r="C20" s="10"/>
      <c r="D20" s="10"/>
      <c r="E20" s="20"/>
      <c r="F20" s="32"/>
      <c r="G20" s="33"/>
      <c r="H20" s="34"/>
      <c r="I20" s="20"/>
    </row>
    <row r="21" spans="1:9" ht="15" x14ac:dyDescent="0.25">
      <c r="A21" s="1"/>
      <c r="B21" s="2"/>
      <c r="C21" s="10"/>
      <c r="D21" s="10"/>
      <c r="E21" s="20"/>
      <c r="F21" s="35"/>
      <c r="G21" s="31"/>
      <c r="H21" s="31"/>
      <c r="I21" s="20"/>
    </row>
    <row r="22" spans="1:9" x14ac:dyDescent="0.25">
      <c r="A22" s="1"/>
      <c r="B22" s="2"/>
      <c r="C22" s="10"/>
      <c r="D22" s="10"/>
      <c r="E22" s="20"/>
      <c r="F22" s="37"/>
      <c r="G22" s="38"/>
      <c r="H22" s="38"/>
      <c r="I22" s="20"/>
    </row>
    <row r="23" spans="1:9" x14ac:dyDescent="0.25">
      <c r="A23" s="2"/>
      <c r="B23" s="2"/>
      <c r="C23" s="10"/>
      <c r="D23" s="10"/>
      <c r="E23" s="20"/>
      <c r="F23" s="37"/>
      <c r="G23" s="38"/>
      <c r="H23" s="38"/>
      <c r="I23" s="20"/>
    </row>
    <row r="24" spans="1:9" x14ac:dyDescent="0.25">
      <c r="A24" s="2"/>
      <c r="B24" s="2"/>
      <c r="C24" s="10"/>
      <c r="D24" s="10"/>
      <c r="E24" s="20"/>
      <c r="F24" s="37"/>
      <c r="G24" s="38"/>
      <c r="H24" s="38"/>
      <c r="I24" s="20"/>
    </row>
    <row r="25" spans="1:9" x14ac:dyDescent="0.25">
      <c r="A25" s="2"/>
      <c r="B25" s="2"/>
      <c r="C25" s="10"/>
      <c r="D25" s="10"/>
      <c r="E25" s="20"/>
      <c r="F25" s="37"/>
      <c r="G25" s="38"/>
      <c r="H25" s="38"/>
      <c r="I25" s="20"/>
    </row>
    <row r="26" spans="1:9" ht="14.25" thickBot="1" x14ac:dyDescent="0.3">
      <c r="A26" s="3"/>
      <c r="B26" s="3"/>
      <c r="C26" s="11"/>
      <c r="D26" s="11"/>
      <c r="E26" s="20"/>
      <c r="F26" s="37"/>
      <c r="G26" s="38"/>
      <c r="H26" s="38"/>
      <c r="I26" s="20"/>
    </row>
    <row r="27" spans="1:9" ht="14.25" thickBot="1" x14ac:dyDescent="0.3">
      <c r="A27" s="12" t="s">
        <v>21</v>
      </c>
      <c r="B27" s="12">
        <f>SUM(B17:B26)</f>
        <v>9</v>
      </c>
      <c r="C27" s="88" t="s">
        <v>27</v>
      </c>
      <c r="D27" s="13"/>
      <c r="E27" s="20"/>
      <c r="F27" s="37"/>
      <c r="G27" s="38"/>
      <c r="H27" s="38"/>
      <c r="I27" s="20"/>
    </row>
    <row r="28" spans="1:9" ht="15" thickBot="1" x14ac:dyDescent="0.35">
      <c r="A28" s="14"/>
      <c r="B28" s="14"/>
      <c r="C28" s="14"/>
      <c r="D28" s="14"/>
      <c r="E28" s="20"/>
      <c r="F28" s="37"/>
      <c r="G28" s="38"/>
      <c r="H28" s="38"/>
      <c r="I28" s="20"/>
    </row>
    <row r="29" spans="1:9" ht="18.75" thickBot="1" x14ac:dyDescent="0.3">
      <c r="A29" s="6" t="s">
        <v>13</v>
      </c>
      <c r="B29" s="7">
        <v>3</v>
      </c>
      <c r="C29" s="17"/>
      <c r="D29" s="87"/>
      <c r="E29" s="20"/>
      <c r="F29" s="37"/>
      <c r="G29" s="38"/>
      <c r="H29" s="38"/>
      <c r="I29" s="20"/>
    </row>
    <row r="30" spans="1:9" ht="27.75" thickBot="1" x14ac:dyDescent="0.3">
      <c r="A30" s="8" t="s">
        <v>3</v>
      </c>
      <c r="B30" s="18" t="s">
        <v>14</v>
      </c>
      <c r="C30" s="8" t="s">
        <v>6</v>
      </c>
      <c r="D30" s="8" t="s">
        <v>12</v>
      </c>
      <c r="E30" s="20"/>
      <c r="F30" s="39"/>
      <c r="G30" s="40"/>
      <c r="H30" s="40"/>
      <c r="I30" s="20"/>
    </row>
    <row r="31" spans="1:9" ht="14.25" x14ac:dyDescent="0.3">
      <c r="A31" s="5" t="s">
        <v>38</v>
      </c>
      <c r="B31" s="4">
        <v>2</v>
      </c>
      <c r="C31" s="92" t="s">
        <v>51</v>
      </c>
      <c r="D31" s="9"/>
      <c r="E31" s="20"/>
      <c r="F31" s="41"/>
      <c r="G31" s="41"/>
      <c r="H31" s="41"/>
      <c r="I31" s="20"/>
    </row>
    <row r="32" spans="1:9" x14ac:dyDescent="0.25">
      <c r="A32" s="1" t="s">
        <v>39</v>
      </c>
      <c r="B32" s="2">
        <v>3</v>
      </c>
      <c r="C32" s="93" t="s">
        <v>52</v>
      </c>
      <c r="D32" s="10"/>
      <c r="E32" s="20"/>
      <c r="F32" s="20"/>
      <c r="G32" s="20"/>
      <c r="H32" s="20"/>
      <c r="I32" s="20"/>
    </row>
    <row r="33" spans="1:9" ht="27" x14ac:dyDescent="0.25">
      <c r="A33" s="1" t="s">
        <v>41</v>
      </c>
      <c r="B33" s="2">
        <v>3</v>
      </c>
      <c r="C33" s="93" t="s">
        <v>53</v>
      </c>
      <c r="D33" s="10"/>
      <c r="E33" s="20"/>
      <c r="F33" s="20"/>
      <c r="G33" s="20"/>
      <c r="H33" s="20"/>
      <c r="I33" s="20"/>
    </row>
    <row r="34" spans="1:9" x14ac:dyDescent="0.25">
      <c r="A34" s="1" t="s">
        <v>42</v>
      </c>
      <c r="B34" s="2">
        <v>1</v>
      </c>
      <c r="C34" s="93" t="s">
        <v>54</v>
      </c>
      <c r="D34" s="10"/>
      <c r="E34" s="20"/>
      <c r="F34" s="20"/>
      <c r="G34" s="20"/>
      <c r="H34" s="20"/>
      <c r="I34" s="20"/>
    </row>
    <row r="35" spans="1:9" x14ac:dyDescent="0.25">
      <c r="A35" s="1"/>
      <c r="B35" s="2"/>
      <c r="C35" s="10"/>
      <c r="D35" s="10"/>
    </row>
    <row r="36" spans="1:9" x14ac:dyDescent="0.25">
      <c r="A36" s="1"/>
      <c r="B36" s="2"/>
      <c r="C36" s="10"/>
      <c r="D36" s="10"/>
    </row>
    <row r="37" spans="1:9" x14ac:dyDescent="0.25">
      <c r="A37" s="2"/>
      <c r="B37" s="2"/>
      <c r="C37" s="10"/>
      <c r="D37" s="10"/>
    </row>
    <row r="38" spans="1:9" x14ac:dyDescent="0.25">
      <c r="A38" s="2"/>
      <c r="B38" s="2"/>
      <c r="C38" s="10"/>
      <c r="D38" s="10"/>
    </row>
    <row r="39" spans="1:9" x14ac:dyDescent="0.25">
      <c r="A39" s="2"/>
      <c r="B39" s="2"/>
      <c r="C39" s="10"/>
      <c r="D39" s="10"/>
    </row>
    <row r="40" spans="1:9" ht="14.25" thickBot="1" x14ac:dyDescent="0.3">
      <c r="A40" s="3"/>
      <c r="B40" s="3"/>
      <c r="C40" s="11"/>
      <c r="D40" s="11"/>
    </row>
    <row r="41" spans="1:9" ht="14.25" thickBot="1" x14ac:dyDescent="0.3">
      <c r="A41" s="12" t="s">
        <v>21</v>
      </c>
      <c r="B41" s="12">
        <f>SUM(B31:B40)</f>
        <v>9</v>
      </c>
      <c r="C41" s="88" t="s">
        <v>27</v>
      </c>
      <c r="D41" s="13"/>
    </row>
    <row r="42" spans="1:9" ht="15" thickBot="1" x14ac:dyDescent="0.35">
      <c r="A42" s="14"/>
      <c r="B42" s="14"/>
      <c r="C42" s="14"/>
      <c r="D42" s="14"/>
    </row>
    <row r="43" spans="1:9" ht="18.75" thickBot="1" x14ac:dyDescent="0.3">
      <c r="A43" s="6" t="s">
        <v>13</v>
      </c>
      <c r="B43" s="7">
        <v>4</v>
      </c>
      <c r="C43" s="17"/>
      <c r="D43" s="87"/>
    </row>
    <row r="44" spans="1:9" ht="27.75" thickBot="1" x14ac:dyDescent="0.3">
      <c r="A44" s="8" t="s">
        <v>3</v>
      </c>
      <c r="B44" s="18" t="s">
        <v>14</v>
      </c>
      <c r="C44" s="8" t="s">
        <v>6</v>
      </c>
      <c r="D44" s="8" t="s">
        <v>12</v>
      </c>
    </row>
    <row r="45" spans="1:9" ht="27" x14ac:dyDescent="0.25">
      <c r="A45" s="5" t="s">
        <v>42</v>
      </c>
      <c r="B45" s="4">
        <v>3</v>
      </c>
      <c r="C45" s="92" t="s">
        <v>55</v>
      </c>
      <c r="D45" s="9"/>
    </row>
    <row r="46" spans="1:9" ht="27" x14ac:dyDescent="0.25">
      <c r="A46" s="1" t="s">
        <v>40</v>
      </c>
      <c r="B46" s="2">
        <v>4</v>
      </c>
      <c r="C46" s="93" t="s">
        <v>56</v>
      </c>
      <c r="D46" s="10"/>
    </row>
    <row r="47" spans="1:9" x14ac:dyDescent="0.25">
      <c r="A47" s="1" t="s">
        <v>31</v>
      </c>
      <c r="B47" s="2">
        <v>2</v>
      </c>
      <c r="C47" s="93" t="s">
        <v>57</v>
      </c>
      <c r="D47" s="10"/>
    </row>
    <row r="48" spans="1:9" x14ac:dyDescent="0.25">
      <c r="A48" s="1"/>
      <c r="B48" s="2"/>
      <c r="C48" s="10"/>
      <c r="D48" s="10"/>
    </row>
    <row r="49" spans="1:4" x14ac:dyDescent="0.25">
      <c r="A49" s="1"/>
      <c r="B49" s="2"/>
      <c r="C49" s="10"/>
      <c r="D49" s="10"/>
    </row>
    <row r="50" spans="1:4" x14ac:dyDescent="0.25">
      <c r="A50" s="1"/>
      <c r="B50" s="2"/>
      <c r="C50" s="10"/>
      <c r="D50" s="10"/>
    </row>
    <row r="51" spans="1:4" x14ac:dyDescent="0.25">
      <c r="A51" s="2"/>
      <c r="B51" s="2"/>
      <c r="C51" s="10"/>
      <c r="D51" s="10"/>
    </row>
    <row r="52" spans="1:4" x14ac:dyDescent="0.25">
      <c r="A52" s="2"/>
      <c r="B52" s="2"/>
      <c r="C52" s="10"/>
      <c r="D52" s="10"/>
    </row>
    <row r="53" spans="1:4" x14ac:dyDescent="0.25">
      <c r="A53" s="2"/>
      <c r="B53" s="2"/>
      <c r="C53" s="10"/>
      <c r="D53" s="10"/>
    </row>
    <row r="54" spans="1:4" ht="14.25" thickBot="1" x14ac:dyDescent="0.3">
      <c r="A54" s="3"/>
      <c r="B54" s="3"/>
      <c r="C54" s="11"/>
      <c r="D54" s="11"/>
    </row>
    <row r="55" spans="1:4" ht="14.25" thickBot="1" x14ac:dyDescent="0.3">
      <c r="A55" s="12" t="s">
        <v>21</v>
      </c>
      <c r="B55" s="12">
        <f>SUM(B45:B54)</f>
        <v>9</v>
      </c>
      <c r="C55" s="88" t="s">
        <v>27</v>
      </c>
      <c r="D55" s="13"/>
    </row>
    <row r="56" spans="1:4" ht="15" thickBot="1" x14ac:dyDescent="0.35">
      <c r="A56" s="14"/>
      <c r="B56" s="14"/>
      <c r="C56" s="14"/>
      <c r="D56" s="14"/>
    </row>
    <row r="57" spans="1:4" ht="18.75" thickBot="1" x14ac:dyDescent="0.3">
      <c r="A57" s="6" t="s">
        <v>13</v>
      </c>
      <c r="B57" s="7">
        <v>5</v>
      </c>
      <c r="C57" s="17"/>
      <c r="D57" s="87"/>
    </row>
    <row r="58" spans="1:4" ht="27.75" thickBot="1" x14ac:dyDescent="0.3">
      <c r="A58" s="8" t="s">
        <v>3</v>
      </c>
      <c r="B58" s="18" t="s">
        <v>14</v>
      </c>
      <c r="C58" s="8" t="s">
        <v>6</v>
      </c>
      <c r="D58" s="8" t="s">
        <v>12</v>
      </c>
    </row>
    <row r="59" spans="1:4" x14ac:dyDescent="0.25">
      <c r="A59" s="5" t="s">
        <v>36</v>
      </c>
      <c r="B59" s="4">
        <v>2</v>
      </c>
      <c r="C59" s="92" t="s">
        <v>58</v>
      </c>
      <c r="D59" s="9"/>
    </row>
    <row r="60" spans="1:4" x14ac:dyDescent="0.25">
      <c r="A60" s="94" t="s">
        <v>59</v>
      </c>
      <c r="B60" s="2">
        <v>5</v>
      </c>
      <c r="C60" s="93" t="s">
        <v>60</v>
      </c>
      <c r="D60" s="10"/>
    </row>
    <row r="61" spans="1:4" x14ac:dyDescent="0.25">
      <c r="A61" s="1" t="s">
        <v>33</v>
      </c>
      <c r="B61" s="2">
        <v>1</v>
      </c>
      <c r="C61" s="93" t="s">
        <v>61</v>
      </c>
      <c r="D61" s="10"/>
    </row>
    <row r="62" spans="1:4" x14ac:dyDescent="0.25">
      <c r="A62" s="1" t="s">
        <v>31</v>
      </c>
      <c r="B62" s="2">
        <v>1</v>
      </c>
      <c r="C62" s="93" t="s">
        <v>48</v>
      </c>
      <c r="D62" s="10"/>
    </row>
    <row r="63" spans="1:4" x14ac:dyDescent="0.25">
      <c r="A63" s="1"/>
      <c r="B63" s="2"/>
      <c r="C63" s="10"/>
      <c r="D63" s="10"/>
    </row>
    <row r="64" spans="1:4" x14ac:dyDescent="0.25">
      <c r="A64" s="1"/>
      <c r="B64" s="2"/>
      <c r="C64" s="10"/>
      <c r="D64" s="10"/>
    </row>
    <row r="65" spans="1:4" x14ac:dyDescent="0.25">
      <c r="A65" s="2"/>
      <c r="B65" s="2"/>
      <c r="C65" s="10"/>
      <c r="D65" s="10"/>
    </row>
    <row r="66" spans="1:4" x14ac:dyDescent="0.25">
      <c r="A66" s="2"/>
      <c r="B66" s="2"/>
      <c r="C66" s="10"/>
      <c r="D66" s="10"/>
    </row>
    <row r="67" spans="1:4" x14ac:dyDescent="0.25">
      <c r="A67" s="2"/>
      <c r="B67" s="2"/>
      <c r="C67" s="10"/>
      <c r="D67" s="10"/>
    </row>
    <row r="68" spans="1:4" ht="14.25" thickBot="1" x14ac:dyDescent="0.3">
      <c r="A68" s="3"/>
      <c r="B68" s="3"/>
      <c r="C68" s="11"/>
      <c r="D68" s="11"/>
    </row>
    <row r="69" spans="1:4" ht="14.25" thickBot="1" x14ac:dyDescent="0.3">
      <c r="A69" s="12" t="s">
        <v>21</v>
      </c>
      <c r="B69" s="12">
        <f>SUM(B59:B68)</f>
        <v>9</v>
      </c>
      <c r="C69" s="88" t="s">
        <v>27</v>
      </c>
      <c r="D69" s="13"/>
    </row>
    <row r="70" spans="1:4" ht="15" thickBot="1" x14ac:dyDescent="0.35">
      <c r="A70" s="14"/>
      <c r="B70" s="14"/>
      <c r="C70" s="14"/>
      <c r="D70" s="14"/>
    </row>
    <row r="71" spans="1:4" ht="18.75" thickBot="1" x14ac:dyDescent="0.3">
      <c r="A71" s="6" t="s">
        <v>13</v>
      </c>
      <c r="B71" s="7">
        <v>6</v>
      </c>
      <c r="C71" s="17"/>
      <c r="D71" s="87"/>
    </row>
    <row r="72" spans="1:4" ht="27.75" thickBot="1" x14ac:dyDescent="0.3">
      <c r="A72" s="8" t="s">
        <v>3</v>
      </c>
      <c r="B72" s="18" t="s">
        <v>14</v>
      </c>
      <c r="C72" s="8" t="s">
        <v>6</v>
      </c>
      <c r="D72" s="8" t="s">
        <v>12</v>
      </c>
    </row>
    <row r="73" spans="1:4" x14ac:dyDescent="0.25">
      <c r="A73" s="5" t="s">
        <v>43</v>
      </c>
      <c r="B73" s="4">
        <v>4</v>
      </c>
      <c r="C73" s="92" t="s">
        <v>63</v>
      </c>
      <c r="D73" s="9"/>
    </row>
    <row r="74" spans="1:4" x14ac:dyDescent="0.25">
      <c r="A74" s="94" t="s">
        <v>59</v>
      </c>
      <c r="B74" s="2">
        <v>4</v>
      </c>
      <c r="C74" s="93" t="s">
        <v>62</v>
      </c>
      <c r="D74" s="10"/>
    </row>
    <row r="75" spans="1:4" x14ac:dyDescent="0.25">
      <c r="A75" s="94" t="s">
        <v>31</v>
      </c>
      <c r="B75" s="2">
        <v>1</v>
      </c>
      <c r="C75" s="93" t="s">
        <v>48</v>
      </c>
      <c r="D75" s="10"/>
    </row>
    <row r="76" spans="1:4" x14ac:dyDescent="0.25">
      <c r="A76" s="1"/>
      <c r="B76" s="2"/>
      <c r="C76" s="10"/>
      <c r="D76" s="10"/>
    </row>
    <row r="77" spans="1:4" x14ac:dyDescent="0.25">
      <c r="A77" s="1"/>
      <c r="B77" s="2"/>
      <c r="C77" s="10"/>
      <c r="D77" s="10"/>
    </row>
    <row r="78" spans="1:4" x14ac:dyDescent="0.25">
      <c r="A78" s="1"/>
      <c r="B78" s="2"/>
      <c r="C78" s="10"/>
      <c r="D78" s="10"/>
    </row>
    <row r="79" spans="1:4" x14ac:dyDescent="0.25">
      <c r="A79" s="2"/>
      <c r="B79" s="2"/>
      <c r="C79" s="10"/>
      <c r="D79" s="10"/>
    </row>
    <row r="80" spans="1:4" x14ac:dyDescent="0.25">
      <c r="A80" s="2"/>
      <c r="B80" s="2"/>
      <c r="C80" s="10"/>
      <c r="D80" s="10"/>
    </row>
    <row r="81" spans="1:4" x14ac:dyDescent="0.25">
      <c r="A81" s="2"/>
      <c r="B81" s="2"/>
      <c r="C81" s="10"/>
      <c r="D81" s="10"/>
    </row>
    <row r="82" spans="1:4" ht="14.25" thickBot="1" x14ac:dyDescent="0.3">
      <c r="A82" s="3"/>
      <c r="B82" s="3"/>
      <c r="C82" s="11"/>
      <c r="D82" s="11"/>
    </row>
    <row r="83" spans="1:4" ht="14.25" thickBot="1" x14ac:dyDescent="0.3">
      <c r="A83" s="12" t="s">
        <v>21</v>
      </c>
      <c r="B83" s="12">
        <f>SUM(B73:B82)</f>
        <v>9</v>
      </c>
      <c r="C83" s="88" t="s">
        <v>27</v>
      </c>
      <c r="D83" s="13"/>
    </row>
    <row r="84" spans="1:4" ht="15" thickBot="1" x14ac:dyDescent="0.35">
      <c r="A84" s="14"/>
      <c r="B84" s="14"/>
      <c r="C84" s="14"/>
      <c r="D84" s="14"/>
    </row>
    <row r="85" spans="1:4" ht="18.75" thickBot="1" x14ac:dyDescent="0.3">
      <c r="A85" s="6" t="s">
        <v>13</v>
      </c>
      <c r="B85" s="7">
        <v>7</v>
      </c>
      <c r="C85" s="17"/>
      <c r="D85" s="87"/>
    </row>
    <row r="86" spans="1:4" ht="27.75" thickBot="1" x14ac:dyDescent="0.3">
      <c r="A86" s="8" t="s">
        <v>3</v>
      </c>
      <c r="B86" s="18" t="s">
        <v>14</v>
      </c>
      <c r="C86" s="8" t="s">
        <v>6</v>
      </c>
      <c r="D86" s="8" t="s">
        <v>12</v>
      </c>
    </row>
    <row r="87" spans="1:4" x14ac:dyDescent="0.25">
      <c r="A87" s="91" t="s">
        <v>43</v>
      </c>
      <c r="B87" s="4">
        <v>3</v>
      </c>
      <c r="C87" s="92" t="s">
        <v>64</v>
      </c>
      <c r="D87" s="9"/>
    </row>
    <row r="88" spans="1:4" ht="27" x14ac:dyDescent="0.25">
      <c r="A88" s="94" t="s">
        <v>59</v>
      </c>
      <c r="B88" s="2">
        <v>3</v>
      </c>
      <c r="C88" s="93" t="s">
        <v>65</v>
      </c>
      <c r="D88" s="10"/>
    </row>
    <row r="89" spans="1:4" ht="27" x14ac:dyDescent="0.25">
      <c r="A89" s="94" t="s">
        <v>31</v>
      </c>
      <c r="B89" s="2">
        <v>3</v>
      </c>
      <c r="C89" s="93" t="s">
        <v>66</v>
      </c>
      <c r="D89" s="10"/>
    </row>
    <row r="90" spans="1:4" x14ac:dyDescent="0.25">
      <c r="A90" s="1"/>
      <c r="B90" s="2"/>
      <c r="C90" s="10"/>
      <c r="D90" s="10"/>
    </row>
    <row r="91" spans="1:4" x14ac:dyDescent="0.25">
      <c r="A91" s="1"/>
      <c r="B91" s="2"/>
      <c r="C91" s="10"/>
      <c r="D91" s="10"/>
    </row>
    <row r="92" spans="1:4" x14ac:dyDescent="0.25">
      <c r="A92" s="1"/>
      <c r="B92" s="2"/>
      <c r="C92" s="10"/>
      <c r="D92" s="10"/>
    </row>
    <row r="93" spans="1:4" x14ac:dyDescent="0.25">
      <c r="A93" s="2"/>
      <c r="B93" s="2"/>
      <c r="C93" s="10"/>
      <c r="D93" s="10"/>
    </row>
    <row r="94" spans="1:4" x14ac:dyDescent="0.25">
      <c r="A94" s="2"/>
      <c r="B94" s="2"/>
      <c r="C94" s="10"/>
      <c r="D94" s="10"/>
    </row>
    <row r="95" spans="1:4" x14ac:dyDescent="0.25">
      <c r="A95" s="2"/>
      <c r="B95" s="2"/>
      <c r="C95" s="10"/>
      <c r="D95" s="10"/>
    </row>
    <row r="96" spans="1:4" ht="14.25" thickBot="1" x14ac:dyDescent="0.3">
      <c r="A96" s="3"/>
      <c r="B96" s="3"/>
      <c r="C96" s="11"/>
      <c r="D96" s="11"/>
    </row>
    <row r="97" spans="1:4" ht="14.25" thickBot="1" x14ac:dyDescent="0.3">
      <c r="A97" s="12" t="s">
        <v>21</v>
      </c>
      <c r="B97" s="12">
        <f>SUM(B87:B96)</f>
        <v>9</v>
      </c>
      <c r="C97" s="88" t="s">
        <v>27</v>
      </c>
      <c r="D97" s="13"/>
    </row>
    <row r="98" spans="1:4" ht="15" thickBot="1" x14ac:dyDescent="0.35">
      <c r="A98" s="14"/>
      <c r="B98" s="14"/>
      <c r="C98" s="14"/>
      <c r="D98" s="14"/>
    </row>
    <row r="99" spans="1:4" ht="18.75" thickBot="1" x14ac:dyDescent="0.3">
      <c r="A99" s="6" t="s">
        <v>13</v>
      </c>
      <c r="B99" s="7">
        <v>8</v>
      </c>
      <c r="C99" s="17"/>
      <c r="D99" s="87"/>
    </row>
    <row r="100" spans="1:4" ht="27.75" thickBot="1" x14ac:dyDescent="0.3">
      <c r="A100" s="8" t="s">
        <v>3</v>
      </c>
      <c r="B100" s="18" t="s">
        <v>14</v>
      </c>
      <c r="C100" s="8" t="s">
        <v>6</v>
      </c>
      <c r="D100" s="8" t="s">
        <v>12</v>
      </c>
    </row>
    <row r="101" spans="1:4" ht="27" x14ac:dyDescent="0.25">
      <c r="A101" s="91" t="s">
        <v>59</v>
      </c>
      <c r="B101" s="4">
        <v>4</v>
      </c>
      <c r="C101" s="92" t="s">
        <v>67</v>
      </c>
      <c r="D101" s="9"/>
    </row>
    <row r="102" spans="1:4" x14ac:dyDescent="0.25">
      <c r="A102" s="94" t="s">
        <v>31</v>
      </c>
      <c r="B102" s="2">
        <v>3</v>
      </c>
      <c r="C102" s="93" t="s">
        <v>68</v>
      </c>
      <c r="D102" s="10"/>
    </row>
    <row r="103" spans="1:4" ht="27" x14ac:dyDescent="0.25">
      <c r="A103" s="94" t="s">
        <v>35</v>
      </c>
      <c r="B103" s="2">
        <v>2</v>
      </c>
      <c r="C103" s="93" t="s">
        <v>69</v>
      </c>
      <c r="D103" s="10"/>
    </row>
    <row r="104" spans="1:4" x14ac:dyDescent="0.25">
      <c r="A104" s="1"/>
      <c r="B104" s="2"/>
      <c r="C104" s="93" t="s">
        <v>70</v>
      </c>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ht="14.25" thickBot="1" x14ac:dyDescent="0.3">
      <c r="A110" s="3"/>
      <c r="B110" s="3"/>
      <c r="C110" s="11"/>
      <c r="D110" s="11"/>
    </row>
    <row r="111" spans="1:4" ht="14.25" thickBot="1" x14ac:dyDescent="0.3">
      <c r="A111" s="12" t="s">
        <v>21</v>
      </c>
      <c r="B111" s="12">
        <f>SUM(B101:B110)</f>
        <v>9</v>
      </c>
      <c r="C111" s="88" t="s">
        <v>27</v>
      </c>
      <c r="D111" s="13"/>
    </row>
    <row r="112" spans="1:4" ht="14.25" x14ac:dyDescent="0.3">
      <c r="A112" s="14"/>
      <c r="B112" s="14"/>
      <c r="C112" s="14"/>
      <c r="D112" s="14"/>
    </row>
    <row r="113" spans="1:1" x14ac:dyDescent="0.25">
      <c r="A113" s="89" t="s">
        <v>28</v>
      </c>
    </row>
  </sheetData>
  <sheetProtection sheet="1" objects="1" scenarios="1" insertRows="0" selectLockedCells="1"/>
  <dataValidations count="4">
    <dataValidation type="list" allowBlank="1" showInputMessage="1" showErrorMessage="1" sqref="A3:A12 A17:A26 A31:A40 A45:A54 A59:A68 A73:A82 A87:A96 A101:A110" xr:uid="{63C16A73-D100-4814-82C0-F9FBECDA3575}">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B83 B97 B111" xr:uid="{56BAA7C9-A853-492E-8F03-D8F4EBDD4B9D}">
      <formula1>0</formula1>
      <formula2>NbPerWeek * NbQuartPer</formula2>
    </dataValidation>
    <dataValidation type="whole" errorStyle="warning" operator="greaterThan" allowBlank="1" showInputMessage="1" showErrorMessage="1" errorTitle="Durée en 1/3 de période" error="Le nombre doit être de type entier" sqref="B3:B12 F22:F29 B17:B26 B31:B40 B45:B54 B59:B68 B73:B82 B87:B96 B101:B110" xr:uid="{7787DA8D-782B-4705-9A9D-37FA74D6FA5E}">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xr:uid="{ED974A9F-07A1-4C2F-93F4-FDFA8C48F46A}">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9937"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9937"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13</v>
      </c>
      <c r="B1" s="44">
        <v>1</v>
      </c>
      <c r="C1" s="45" t="s">
        <v>22</v>
      </c>
      <c r="D1" s="54"/>
    </row>
    <row r="2" spans="1:4" ht="27.75" thickBot="1" x14ac:dyDescent="0.3">
      <c r="A2" s="46" t="s">
        <v>3</v>
      </c>
      <c r="B2" s="47" t="s">
        <v>14</v>
      </c>
      <c r="C2" s="46" t="s">
        <v>6</v>
      </c>
      <c r="D2" s="46" t="s">
        <v>12</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21</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4AB32-002F-4B03-89BA-374FF4FE43B4}">
  <sheetPr codeName="Feuil9"/>
  <dimension ref="A1:I153"/>
  <sheetViews>
    <sheetView tabSelected="1" topLeftCell="A78" workbookViewId="0">
      <selection activeCell="C100" sqref="C100"/>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13</v>
      </c>
      <c r="B1" s="44">
        <v>1</v>
      </c>
      <c r="C1" s="45" t="s">
        <v>22</v>
      </c>
      <c r="D1" s="54">
        <f>Donnees!$C$9</f>
        <v>45532</v>
      </c>
    </row>
    <row r="2" spans="1:4" ht="27.75" thickBot="1" x14ac:dyDescent="0.3">
      <c r="A2" s="46" t="s">
        <v>3</v>
      </c>
      <c r="B2" s="47" t="s">
        <v>14</v>
      </c>
      <c r="C2" s="46" t="s">
        <v>6</v>
      </c>
      <c r="D2" s="46" t="s">
        <v>12</v>
      </c>
    </row>
    <row r="3" spans="1:4" s="53" customFormat="1" x14ac:dyDescent="0.25">
      <c r="A3" s="91" t="s">
        <v>29</v>
      </c>
      <c r="B3" s="4">
        <v>4</v>
      </c>
      <c r="C3" s="92" t="s">
        <v>71</v>
      </c>
      <c r="D3" s="9"/>
    </row>
    <row r="4" spans="1:4" s="53" customFormat="1" ht="27" x14ac:dyDescent="0.25">
      <c r="A4" s="94" t="s">
        <v>72</v>
      </c>
      <c r="B4" s="2">
        <v>2</v>
      </c>
      <c r="C4" s="93" t="s">
        <v>73</v>
      </c>
      <c r="D4" s="10"/>
    </row>
    <row r="5" spans="1:4" s="53" customFormat="1" ht="27" x14ac:dyDescent="0.25">
      <c r="A5" s="94" t="s">
        <v>59</v>
      </c>
      <c r="B5" s="2">
        <v>3</v>
      </c>
      <c r="C5" s="93" t="s">
        <v>74</v>
      </c>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21</v>
      </c>
      <c r="B18" s="48">
        <f>SUM(B3:B17)</f>
        <v>9</v>
      </c>
      <c r="C18" s="90" t="s">
        <v>27</v>
      </c>
      <c r="D18" s="49"/>
    </row>
    <row r="19" spans="1:9" ht="15" thickBot="1" x14ac:dyDescent="0.35">
      <c r="A19" s="50"/>
      <c r="B19" s="50"/>
      <c r="C19" s="50"/>
      <c r="D19" s="50"/>
    </row>
    <row r="20" spans="1:9" ht="18.75" thickBot="1" x14ac:dyDescent="0.3">
      <c r="A20" s="43" t="s">
        <v>13</v>
      </c>
      <c r="B20" s="44">
        <v>2</v>
      </c>
      <c r="C20" s="45" t="s">
        <v>22</v>
      </c>
      <c r="D20" s="54">
        <f>$D$1+7</f>
        <v>45539</v>
      </c>
    </row>
    <row r="21" spans="1:9" ht="27.75" thickBot="1" x14ac:dyDescent="0.3">
      <c r="A21" s="46" t="s">
        <v>3</v>
      </c>
      <c r="B21" s="47" t="s">
        <v>14</v>
      </c>
      <c r="C21" s="46" t="s">
        <v>6</v>
      </c>
      <c r="D21" s="46" t="s">
        <v>12</v>
      </c>
    </row>
    <row r="22" spans="1:9" ht="27" x14ac:dyDescent="0.25">
      <c r="A22" s="91" t="s">
        <v>72</v>
      </c>
      <c r="B22" s="4">
        <v>5</v>
      </c>
      <c r="C22" s="92" t="s">
        <v>75</v>
      </c>
      <c r="D22" s="9"/>
    </row>
    <row r="23" spans="1:9" x14ac:dyDescent="0.25">
      <c r="A23" s="94" t="s">
        <v>37</v>
      </c>
      <c r="B23" s="2">
        <v>3</v>
      </c>
      <c r="C23" s="93" t="s">
        <v>76</v>
      </c>
      <c r="D23" s="10"/>
    </row>
    <row r="24" spans="1:9" x14ac:dyDescent="0.25">
      <c r="A24" s="94" t="s">
        <v>31</v>
      </c>
      <c r="B24" s="2">
        <v>1</v>
      </c>
      <c r="C24" s="93" t="s">
        <v>77</v>
      </c>
      <c r="D24" s="10"/>
      <c r="E24" s="20"/>
      <c r="F24" s="20"/>
      <c r="G24" s="20"/>
      <c r="H24" s="20"/>
      <c r="I24" s="20"/>
    </row>
    <row r="25" spans="1:9" ht="12.75" customHeight="1" x14ac:dyDescent="0.25">
      <c r="A25" s="1"/>
      <c r="B25" s="2"/>
      <c r="C25" s="10"/>
      <c r="D25" s="10"/>
      <c r="E25" s="20"/>
      <c r="F25" s="32"/>
      <c r="G25" s="33"/>
      <c r="H25" s="34"/>
      <c r="I25" s="20"/>
    </row>
    <row r="26" spans="1:9" ht="15" x14ac:dyDescent="0.25">
      <c r="A26" s="1"/>
      <c r="B26" s="2"/>
      <c r="C26" s="10"/>
      <c r="D26" s="10"/>
      <c r="E26" s="20"/>
      <c r="F26" s="35"/>
      <c r="G26" s="31"/>
      <c r="H26" s="31"/>
      <c r="I26" s="20"/>
    </row>
    <row r="27" spans="1:9" x14ac:dyDescent="0.25">
      <c r="A27" s="1"/>
      <c r="B27" s="2"/>
      <c r="C27" s="10"/>
      <c r="D27" s="10"/>
      <c r="E27" s="20"/>
      <c r="F27" s="37"/>
      <c r="G27" s="38"/>
      <c r="H27" s="38"/>
      <c r="I27" s="20"/>
    </row>
    <row r="28" spans="1:9" x14ac:dyDescent="0.25">
      <c r="A28" s="1"/>
      <c r="B28" s="2"/>
      <c r="C28" s="10"/>
      <c r="D28" s="10"/>
      <c r="E28" s="20"/>
      <c r="F28" s="37"/>
      <c r="G28" s="38"/>
      <c r="H28" s="38"/>
      <c r="I28" s="20"/>
    </row>
    <row r="29" spans="1:9" x14ac:dyDescent="0.25">
      <c r="A29" s="1"/>
      <c r="B29" s="2"/>
      <c r="C29" s="10"/>
      <c r="D29" s="10"/>
      <c r="E29" s="20"/>
      <c r="F29" s="37"/>
      <c r="G29" s="38"/>
      <c r="H29" s="38"/>
      <c r="I29" s="20"/>
    </row>
    <row r="30" spans="1:9" x14ac:dyDescent="0.25">
      <c r="A30" s="1"/>
      <c r="B30" s="2"/>
      <c r="C30" s="10"/>
      <c r="D30" s="10"/>
      <c r="E30" s="20"/>
      <c r="F30" s="37"/>
      <c r="G30" s="38"/>
      <c r="H30" s="38"/>
      <c r="I30" s="20"/>
    </row>
    <row r="31" spans="1:9" x14ac:dyDescent="0.25">
      <c r="A31" s="2"/>
      <c r="B31" s="2"/>
      <c r="C31" s="10"/>
      <c r="D31" s="10"/>
      <c r="E31" s="20"/>
      <c r="F31" s="37"/>
      <c r="G31" s="38"/>
      <c r="H31" s="38"/>
      <c r="I31" s="20"/>
    </row>
    <row r="32" spans="1:9" x14ac:dyDescent="0.25">
      <c r="A32" s="2"/>
      <c r="B32" s="2"/>
      <c r="C32" s="10"/>
      <c r="D32" s="10"/>
      <c r="E32" s="20"/>
      <c r="F32" s="37"/>
      <c r="G32" s="38"/>
      <c r="H32" s="38"/>
      <c r="I32" s="20"/>
    </row>
    <row r="33" spans="1:9" x14ac:dyDescent="0.25">
      <c r="A33" s="2"/>
      <c r="B33" s="2"/>
      <c r="C33" s="10"/>
      <c r="D33" s="10"/>
      <c r="E33" s="20"/>
      <c r="F33" s="37"/>
      <c r="G33" s="38"/>
      <c r="H33" s="38"/>
      <c r="I33" s="20"/>
    </row>
    <row r="34" spans="1:9" x14ac:dyDescent="0.25">
      <c r="A34" s="51"/>
      <c r="B34" s="51"/>
      <c r="C34" s="52"/>
      <c r="D34" s="52"/>
      <c r="E34" s="20"/>
      <c r="F34" s="37"/>
      <c r="G34" s="38"/>
      <c r="H34" s="38"/>
      <c r="I34" s="20"/>
    </row>
    <row r="35" spans="1:9" x14ac:dyDescent="0.25">
      <c r="A35" s="51"/>
      <c r="B35" s="51"/>
      <c r="C35" s="52"/>
      <c r="D35" s="52"/>
      <c r="E35" s="20"/>
      <c r="F35" s="39"/>
      <c r="G35" s="40"/>
      <c r="H35" s="40"/>
      <c r="I35" s="20"/>
    </row>
    <row r="36" spans="1:9" ht="15" thickBot="1" x14ac:dyDescent="0.35">
      <c r="A36" s="3"/>
      <c r="B36" s="3"/>
      <c r="C36" s="11"/>
      <c r="D36" s="11"/>
      <c r="E36" s="20"/>
      <c r="F36" s="41"/>
      <c r="G36" s="41"/>
      <c r="H36" s="41"/>
      <c r="I36" s="20"/>
    </row>
    <row r="37" spans="1:9" ht="14.25" thickBot="1" x14ac:dyDescent="0.3">
      <c r="A37" s="48" t="s">
        <v>21</v>
      </c>
      <c r="B37" s="48">
        <f>SUM(B22:B36)</f>
        <v>9</v>
      </c>
      <c r="C37" s="90" t="s">
        <v>27</v>
      </c>
      <c r="D37" s="49"/>
      <c r="E37" s="20"/>
      <c r="F37" s="20"/>
      <c r="G37" s="20"/>
      <c r="H37" s="20"/>
      <c r="I37" s="20"/>
    </row>
    <row r="38" spans="1:9" ht="15" thickBot="1" x14ac:dyDescent="0.35">
      <c r="A38" s="50"/>
      <c r="B38" s="50"/>
      <c r="C38" s="50"/>
      <c r="D38" s="50"/>
      <c r="E38" s="20"/>
      <c r="F38" s="20"/>
      <c r="G38" s="20"/>
      <c r="H38" s="20"/>
      <c r="I38" s="20"/>
    </row>
    <row r="39" spans="1:9" ht="18.75" thickBot="1" x14ac:dyDescent="0.3">
      <c r="A39" s="43" t="s">
        <v>13</v>
      </c>
      <c r="B39" s="44">
        <v>3</v>
      </c>
      <c r="C39" s="45" t="s">
        <v>22</v>
      </c>
      <c r="D39" s="54">
        <f>$D$20+7</f>
        <v>45546</v>
      </c>
      <c r="E39" s="20"/>
      <c r="F39" s="20"/>
      <c r="G39" s="20"/>
      <c r="H39" s="20"/>
      <c r="I39" s="20"/>
    </row>
    <row r="40" spans="1:9" ht="27.75" thickBot="1" x14ac:dyDescent="0.3">
      <c r="A40" s="46" t="s">
        <v>3</v>
      </c>
      <c r="B40" s="47" t="s">
        <v>14</v>
      </c>
      <c r="C40" s="46" t="s">
        <v>6</v>
      </c>
      <c r="D40" s="46" t="s">
        <v>12</v>
      </c>
    </row>
    <row r="41" spans="1:9" ht="27" x14ac:dyDescent="0.25">
      <c r="A41" s="91" t="s">
        <v>78</v>
      </c>
      <c r="B41" s="4">
        <v>3</v>
      </c>
      <c r="C41" s="92" t="s">
        <v>79</v>
      </c>
      <c r="D41" s="9"/>
    </row>
    <row r="42" spans="1:9" ht="40.5" x14ac:dyDescent="0.25">
      <c r="A42" s="94" t="s">
        <v>37</v>
      </c>
      <c r="B42" s="2">
        <v>5</v>
      </c>
      <c r="C42" s="93" t="s">
        <v>80</v>
      </c>
      <c r="D42" s="10"/>
    </row>
    <row r="43" spans="1:9" x14ac:dyDescent="0.25">
      <c r="A43" s="94" t="s">
        <v>31</v>
      </c>
      <c r="B43" s="2">
        <v>1</v>
      </c>
      <c r="C43" s="93" t="s">
        <v>81</v>
      </c>
      <c r="D43" s="10"/>
    </row>
    <row r="44" spans="1:9" x14ac:dyDescent="0.25">
      <c r="A44" s="1"/>
      <c r="B44" s="2"/>
      <c r="C44" s="10"/>
      <c r="D44" s="10"/>
    </row>
    <row r="45" spans="1:9" x14ac:dyDescent="0.25">
      <c r="A45" s="1"/>
      <c r="B45" s="2"/>
      <c r="C45" s="10"/>
      <c r="D45" s="10"/>
    </row>
    <row r="46" spans="1:9" x14ac:dyDescent="0.25">
      <c r="A46" s="1"/>
      <c r="B46" s="2"/>
      <c r="C46" s="10"/>
      <c r="D46" s="10"/>
    </row>
    <row r="47" spans="1:9" x14ac:dyDescent="0.25">
      <c r="A47" s="1"/>
      <c r="B47" s="2"/>
      <c r="C47" s="10"/>
      <c r="D47" s="10"/>
    </row>
    <row r="48" spans="1:9" x14ac:dyDescent="0.25">
      <c r="A48" s="1"/>
      <c r="B48" s="2"/>
      <c r="C48" s="10"/>
      <c r="D48" s="10"/>
    </row>
    <row r="49" spans="1:4" x14ac:dyDescent="0.25">
      <c r="A49" s="1"/>
      <c r="B49" s="2"/>
      <c r="C49" s="10"/>
      <c r="D49" s="10"/>
    </row>
    <row r="50" spans="1:4" x14ac:dyDescent="0.25">
      <c r="A50" s="2"/>
      <c r="B50" s="2"/>
      <c r="C50" s="10"/>
      <c r="D50" s="10"/>
    </row>
    <row r="51" spans="1:4" x14ac:dyDescent="0.25">
      <c r="A51" s="2"/>
      <c r="B51" s="2"/>
      <c r="C51" s="10"/>
      <c r="D51" s="10"/>
    </row>
    <row r="52" spans="1:4" x14ac:dyDescent="0.25">
      <c r="A52" s="2"/>
      <c r="B52" s="2"/>
      <c r="C52" s="10"/>
      <c r="D52" s="10"/>
    </row>
    <row r="53" spans="1:4" x14ac:dyDescent="0.25">
      <c r="A53" s="51"/>
      <c r="B53" s="51"/>
      <c r="C53" s="52"/>
      <c r="D53" s="52"/>
    </row>
    <row r="54" spans="1:4" x14ac:dyDescent="0.25">
      <c r="A54" s="51"/>
      <c r="B54" s="51"/>
      <c r="C54" s="52"/>
      <c r="D54" s="52"/>
    </row>
    <row r="55" spans="1:4" ht="14.25" thickBot="1" x14ac:dyDescent="0.3">
      <c r="A55" s="3"/>
      <c r="B55" s="3"/>
      <c r="C55" s="11"/>
      <c r="D55" s="11"/>
    </row>
    <row r="56" spans="1:4" ht="14.25" thickBot="1" x14ac:dyDescent="0.3">
      <c r="A56" s="48" t="s">
        <v>21</v>
      </c>
      <c r="B56" s="48">
        <f>SUM(B41:B55)</f>
        <v>9</v>
      </c>
      <c r="C56" s="90" t="s">
        <v>27</v>
      </c>
      <c r="D56" s="49"/>
    </row>
    <row r="57" spans="1:4" ht="15" thickBot="1" x14ac:dyDescent="0.35">
      <c r="A57" s="50"/>
      <c r="B57" s="50"/>
      <c r="C57" s="50"/>
      <c r="D57" s="50"/>
    </row>
    <row r="58" spans="1:4" ht="18.75" thickBot="1" x14ac:dyDescent="0.3">
      <c r="A58" s="43" t="s">
        <v>13</v>
      </c>
      <c r="B58" s="44">
        <v>4</v>
      </c>
      <c r="C58" s="45" t="s">
        <v>22</v>
      </c>
      <c r="D58" s="54">
        <f>$D$39+7</f>
        <v>45553</v>
      </c>
    </row>
    <row r="59" spans="1:4" ht="27.75" thickBot="1" x14ac:dyDescent="0.3">
      <c r="A59" s="46" t="s">
        <v>3</v>
      </c>
      <c r="B59" s="47" t="s">
        <v>14</v>
      </c>
      <c r="C59" s="46" t="s">
        <v>6</v>
      </c>
      <c r="D59" s="46" t="s">
        <v>12</v>
      </c>
    </row>
    <row r="60" spans="1:4" x14ac:dyDescent="0.25">
      <c r="A60" s="5" t="s">
        <v>20</v>
      </c>
      <c r="B60" s="4">
        <v>9</v>
      </c>
      <c r="C60" s="92" t="s">
        <v>82</v>
      </c>
      <c r="D60" s="9"/>
    </row>
    <row r="61" spans="1:4" x14ac:dyDescent="0.25">
      <c r="A61" s="1"/>
      <c r="B61" s="2"/>
      <c r="C61" s="10"/>
      <c r="D61" s="10"/>
    </row>
    <row r="62" spans="1:4" x14ac:dyDescent="0.25">
      <c r="A62" s="1"/>
      <c r="B62" s="2"/>
      <c r="C62" s="10"/>
      <c r="D62" s="10"/>
    </row>
    <row r="63" spans="1:4" x14ac:dyDescent="0.25">
      <c r="A63" s="1"/>
      <c r="B63" s="2"/>
      <c r="C63" s="10"/>
      <c r="D63" s="10"/>
    </row>
    <row r="64" spans="1:4" x14ac:dyDescent="0.25">
      <c r="A64" s="1"/>
      <c r="B64" s="2"/>
      <c r="C64" s="10"/>
      <c r="D64" s="10"/>
    </row>
    <row r="65" spans="1:4" x14ac:dyDescent="0.25">
      <c r="A65" s="1"/>
      <c r="B65" s="2"/>
      <c r="C65" s="10"/>
      <c r="D65" s="10"/>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2"/>
      <c r="B69" s="2"/>
      <c r="C69" s="10"/>
      <c r="D69" s="10"/>
    </row>
    <row r="70" spans="1:4" x14ac:dyDescent="0.25">
      <c r="A70" s="2"/>
      <c r="B70" s="2"/>
      <c r="C70" s="10"/>
      <c r="D70" s="10"/>
    </row>
    <row r="71" spans="1:4" x14ac:dyDescent="0.25">
      <c r="A71" s="2"/>
      <c r="B71" s="2"/>
      <c r="C71" s="10"/>
      <c r="D71" s="10"/>
    </row>
    <row r="72" spans="1:4" x14ac:dyDescent="0.25">
      <c r="A72" s="51"/>
      <c r="B72" s="51"/>
      <c r="C72" s="52"/>
      <c r="D72" s="52"/>
    </row>
    <row r="73" spans="1:4" x14ac:dyDescent="0.25">
      <c r="A73" s="51"/>
      <c r="B73" s="51"/>
      <c r="C73" s="52"/>
      <c r="D73" s="52"/>
    </row>
    <row r="74" spans="1:4" ht="14.25" thickBot="1" x14ac:dyDescent="0.3">
      <c r="A74" s="3"/>
      <c r="B74" s="3"/>
      <c r="C74" s="11"/>
      <c r="D74" s="11"/>
    </row>
    <row r="75" spans="1:4" ht="14.25" thickBot="1" x14ac:dyDescent="0.3">
      <c r="A75" s="48" t="s">
        <v>21</v>
      </c>
      <c r="B75" s="48">
        <f>SUM(B60:B74)</f>
        <v>9</v>
      </c>
      <c r="C75" s="90" t="s">
        <v>27</v>
      </c>
      <c r="D75" s="49"/>
    </row>
    <row r="76" spans="1:4" ht="15" thickBot="1" x14ac:dyDescent="0.35">
      <c r="A76" s="50"/>
      <c r="B76" s="50"/>
      <c r="C76" s="50"/>
      <c r="D76" s="50"/>
    </row>
    <row r="77" spans="1:4" ht="18.75" thickBot="1" x14ac:dyDescent="0.3">
      <c r="A77" s="43" t="s">
        <v>13</v>
      </c>
      <c r="B77" s="44">
        <v>5</v>
      </c>
      <c r="C77" s="45" t="s">
        <v>22</v>
      </c>
      <c r="D77" s="54">
        <f>$D$58+7</f>
        <v>45560</v>
      </c>
    </row>
    <row r="78" spans="1:4" ht="27.75" thickBot="1" x14ac:dyDescent="0.3">
      <c r="A78" s="46" t="s">
        <v>3</v>
      </c>
      <c r="B78" s="47" t="s">
        <v>14</v>
      </c>
      <c r="C78" s="46" t="s">
        <v>6</v>
      </c>
      <c r="D78" s="46" t="s">
        <v>12</v>
      </c>
    </row>
    <row r="79" spans="1:4" ht="54" x14ac:dyDescent="0.25">
      <c r="A79" s="5" t="s">
        <v>38</v>
      </c>
      <c r="B79" s="4">
        <v>2</v>
      </c>
      <c r="C79" s="92" t="s">
        <v>83</v>
      </c>
      <c r="D79" s="9"/>
    </row>
    <row r="80" spans="1:4" x14ac:dyDescent="0.25">
      <c r="A80" s="1" t="s">
        <v>59</v>
      </c>
      <c r="B80" s="2">
        <v>6</v>
      </c>
      <c r="C80" s="93" t="s">
        <v>84</v>
      </c>
      <c r="D80" s="10"/>
    </row>
    <row r="81" spans="1:4" x14ac:dyDescent="0.25">
      <c r="A81" s="1" t="s">
        <v>31</v>
      </c>
      <c r="B81" s="2">
        <v>1</v>
      </c>
      <c r="C81" s="93" t="s">
        <v>85</v>
      </c>
      <c r="D81" s="10"/>
    </row>
    <row r="82" spans="1:4" x14ac:dyDescent="0.25">
      <c r="A82" s="1"/>
      <c r="B82" s="2"/>
      <c r="C82" s="10"/>
      <c r="D82" s="10"/>
    </row>
    <row r="83" spans="1:4" x14ac:dyDescent="0.25">
      <c r="A83" s="1"/>
      <c r="B83" s="2"/>
      <c r="C83" s="10"/>
      <c r="D83" s="10"/>
    </row>
    <row r="84" spans="1:4" x14ac:dyDescent="0.25">
      <c r="A84" s="1"/>
      <c r="B84" s="2"/>
      <c r="C84" s="10"/>
      <c r="D84" s="10"/>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2"/>
      <c r="B88" s="2"/>
      <c r="C88" s="10"/>
      <c r="D88" s="10"/>
    </row>
    <row r="89" spans="1:4" x14ac:dyDescent="0.25">
      <c r="A89" s="2"/>
      <c r="B89" s="2"/>
      <c r="C89" s="10"/>
      <c r="D89" s="10"/>
    </row>
    <row r="90" spans="1:4" x14ac:dyDescent="0.25">
      <c r="A90" s="2"/>
      <c r="B90" s="2"/>
      <c r="C90" s="10"/>
      <c r="D90" s="10"/>
    </row>
    <row r="91" spans="1:4" x14ac:dyDescent="0.25">
      <c r="A91" s="51"/>
      <c r="B91" s="51"/>
      <c r="C91" s="52"/>
      <c r="D91" s="52"/>
    </row>
    <row r="92" spans="1:4" x14ac:dyDescent="0.25">
      <c r="A92" s="51"/>
      <c r="B92" s="51"/>
      <c r="C92" s="52"/>
      <c r="D92" s="52"/>
    </row>
    <row r="93" spans="1:4" ht="14.25" thickBot="1" x14ac:dyDescent="0.3">
      <c r="A93" s="3"/>
      <c r="B93" s="3"/>
      <c r="C93" s="11"/>
      <c r="D93" s="11"/>
    </row>
    <row r="94" spans="1:4" ht="14.25" thickBot="1" x14ac:dyDescent="0.3">
      <c r="A94" s="48" t="s">
        <v>21</v>
      </c>
      <c r="B94" s="48">
        <f>SUM(B79:B93)</f>
        <v>9</v>
      </c>
      <c r="C94" s="90" t="s">
        <v>27</v>
      </c>
      <c r="D94" s="49"/>
    </row>
    <row r="95" spans="1:4" ht="15" thickBot="1" x14ac:dyDescent="0.35">
      <c r="A95" s="50"/>
      <c r="B95" s="50"/>
      <c r="C95" s="50"/>
      <c r="D95" s="50"/>
    </row>
    <row r="96" spans="1:4" ht="18.75" thickBot="1" x14ac:dyDescent="0.3">
      <c r="A96" s="43" t="s">
        <v>13</v>
      </c>
      <c r="B96" s="44">
        <v>6</v>
      </c>
      <c r="C96" s="45" t="s">
        <v>22</v>
      </c>
      <c r="D96" s="54">
        <f>$D$77+7</f>
        <v>45567</v>
      </c>
    </row>
    <row r="97" spans="1:4" ht="27.75" thickBot="1" x14ac:dyDescent="0.3">
      <c r="A97" s="46" t="s">
        <v>3</v>
      </c>
      <c r="B97" s="47" t="s">
        <v>14</v>
      </c>
      <c r="C97" s="46" t="s">
        <v>6</v>
      </c>
      <c r="D97" s="46" t="s">
        <v>12</v>
      </c>
    </row>
    <row r="98" spans="1:4" ht="40.5" x14ac:dyDescent="0.25">
      <c r="A98" s="91" t="s">
        <v>39</v>
      </c>
      <c r="B98" s="4">
        <v>8</v>
      </c>
      <c r="C98" s="92" t="s">
        <v>87</v>
      </c>
      <c r="D98" s="9"/>
    </row>
    <row r="99" spans="1:4" x14ac:dyDescent="0.25">
      <c r="A99" s="94" t="s">
        <v>86</v>
      </c>
      <c r="B99" s="2">
        <v>1</v>
      </c>
      <c r="C99" s="93" t="s">
        <v>88</v>
      </c>
      <c r="D99" s="10"/>
    </row>
    <row r="100" spans="1:4" x14ac:dyDescent="0.25">
      <c r="A100" s="1"/>
      <c r="B100" s="2"/>
      <c r="C100" s="10"/>
      <c r="D100" s="10"/>
    </row>
    <row r="101" spans="1:4" x14ac:dyDescent="0.25">
      <c r="A101" s="1"/>
      <c r="B101" s="2"/>
      <c r="C101" s="10"/>
      <c r="D101" s="10"/>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x14ac:dyDescent="0.25">
      <c r="A110" s="51"/>
      <c r="B110" s="51"/>
      <c r="C110" s="52"/>
      <c r="D110" s="52"/>
    </row>
    <row r="111" spans="1:4" x14ac:dyDescent="0.25">
      <c r="A111" s="51"/>
      <c r="B111" s="51"/>
      <c r="C111" s="52"/>
      <c r="D111" s="52"/>
    </row>
    <row r="112" spans="1:4" ht="14.25" thickBot="1" x14ac:dyDescent="0.3">
      <c r="A112" s="3"/>
      <c r="B112" s="3"/>
      <c r="C112" s="11"/>
      <c r="D112" s="11"/>
    </row>
    <row r="113" spans="1:4" ht="14.25" thickBot="1" x14ac:dyDescent="0.3">
      <c r="A113" s="48" t="s">
        <v>21</v>
      </c>
      <c r="B113" s="48">
        <f>SUM(B98:B112)</f>
        <v>9</v>
      </c>
      <c r="C113" s="90" t="s">
        <v>27</v>
      </c>
      <c r="D113" s="49"/>
    </row>
    <row r="114" spans="1:4" ht="15" thickBot="1" x14ac:dyDescent="0.35">
      <c r="A114" s="50"/>
      <c r="B114" s="50"/>
      <c r="C114" s="50"/>
      <c r="D114" s="50"/>
    </row>
    <row r="115" spans="1:4" ht="18.75" thickBot="1" x14ac:dyDescent="0.3">
      <c r="A115" s="43" t="s">
        <v>13</v>
      </c>
      <c r="B115" s="44">
        <v>7</v>
      </c>
      <c r="C115" s="45" t="s">
        <v>22</v>
      </c>
      <c r="D115" s="54">
        <f>$D$96+7</f>
        <v>45574</v>
      </c>
    </row>
    <row r="116" spans="1:4" ht="27.75" thickBot="1" x14ac:dyDescent="0.3">
      <c r="A116" s="46" t="s">
        <v>3</v>
      </c>
      <c r="B116" s="47" t="s">
        <v>14</v>
      </c>
      <c r="C116" s="46" t="s">
        <v>6</v>
      </c>
      <c r="D116" s="46" t="s">
        <v>12</v>
      </c>
    </row>
    <row r="117" spans="1:4" x14ac:dyDescent="0.25">
      <c r="A117" s="5"/>
      <c r="B117" s="4"/>
      <c r="C117" s="9"/>
      <c r="D117" s="9"/>
    </row>
    <row r="118" spans="1:4" x14ac:dyDescent="0.25">
      <c r="A118" s="1"/>
      <c r="B118" s="2"/>
      <c r="C118" s="10"/>
      <c r="D118" s="10"/>
    </row>
    <row r="119" spans="1:4" x14ac:dyDescent="0.25">
      <c r="A119" s="1"/>
      <c r="B119" s="2"/>
      <c r="C119" s="10"/>
      <c r="D119" s="10"/>
    </row>
    <row r="120" spans="1:4" x14ac:dyDescent="0.25">
      <c r="A120" s="1"/>
      <c r="B120" s="2"/>
      <c r="C120" s="10"/>
      <c r="D120" s="10"/>
    </row>
    <row r="121" spans="1:4" x14ac:dyDescent="0.25">
      <c r="A121" s="1"/>
      <c r="B121" s="2"/>
      <c r="C121" s="10"/>
      <c r="D121" s="10"/>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2"/>
      <c r="B126" s="2"/>
      <c r="C126" s="10"/>
      <c r="D126" s="10"/>
    </row>
    <row r="127" spans="1:4" x14ac:dyDescent="0.25">
      <c r="A127" s="2"/>
      <c r="B127" s="2"/>
      <c r="C127" s="10"/>
      <c r="D127" s="10"/>
    </row>
    <row r="128" spans="1:4" x14ac:dyDescent="0.25">
      <c r="A128" s="2"/>
      <c r="B128" s="2"/>
      <c r="C128" s="10"/>
      <c r="D128" s="10"/>
    </row>
    <row r="129" spans="1:4" x14ac:dyDescent="0.25">
      <c r="A129" s="51"/>
      <c r="B129" s="51"/>
      <c r="C129" s="52"/>
      <c r="D129" s="52"/>
    </row>
    <row r="130" spans="1:4" x14ac:dyDescent="0.25">
      <c r="A130" s="51"/>
      <c r="B130" s="51"/>
      <c r="C130" s="52"/>
      <c r="D130" s="52"/>
    </row>
    <row r="131" spans="1:4" ht="14.25" thickBot="1" x14ac:dyDescent="0.3">
      <c r="A131" s="3"/>
      <c r="B131" s="3"/>
      <c r="C131" s="11"/>
      <c r="D131" s="11"/>
    </row>
    <row r="132" spans="1:4" ht="14.25" thickBot="1" x14ac:dyDescent="0.3">
      <c r="A132" s="48" t="s">
        <v>21</v>
      </c>
      <c r="B132" s="48">
        <f>SUM(B117:B131)</f>
        <v>0</v>
      </c>
      <c r="C132" s="90" t="s">
        <v>27</v>
      </c>
      <c r="D132" s="49"/>
    </row>
    <row r="133" spans="1:4" ht="15" thickBot="1" x14ac:dyDescent="0.35">
      <c r="A133" s="50"/>
      <c r="B133" s="50"/>
      <c r="C133" s="50"/>
      <c r="D133" s="50"/>
    </row>
    <row r="134" spans="1:4" ht="18.75" thickBot="1" x14ac:dyDescent="0.3">
      <c r="A134" s="43" t="s">
        <v>13</v>
      </c>
      <c r="B134" s="44">
        <v>8</v>
      </c>
      <c r="C134" s="45" t="s">
        <v>22</v>
      </c>
      <c r="D134" s="54">
        <f>$D$115+7</f>
        <v>45581</v>
      </c>
    </row>
    <row r="135" spans="1:4" ht="27.75" thickBot="1" x14ac:dyDescent="0.3">
      <c r="A135" s="46" t="s">
        <v>3</v>
      </c>
      <c r="B135" s="47" t="s">
        <v>14</v>
      </c>
      <c r="C135" s="46" t="s">
        <v>6</v>
      </c>
      <c r="D135" s="46" t="s">
        <v>12</v>
      </c>
    </row>
    <row r="136" spans="1:4" x14ac:dyDescent="0.25">
      <c r="A136" s="5"/>
      <c r="B136" s="4"/>
      <c r="C136" s="9"/>
      <c r="D136" s="9"/>
    </row>
    <row r="137" spans="1:4" x14ac:dyDescent="0.25">
      <c r="A137" s="1"/>
      <c r="B137" s="2"/>
      <c r="C137" s="10"/>
      <c r="D137" s="10"/>
    </row>
    <row r="138" spans="1:4" x14ac:dyDescent="0.25">
      <c r="A138" s="1"/>
      <c r="B138" s="2"/>
      <c r="C138" s="10"/>
      <c r="D138" s="10"/>
    </row>
    <row r="139" spans="1:4" x14ac:dyDescent="0.25">
      <c r="A139" s="1"/>
      <c r="B139" s="2"/>
      <c r="C139" s="10"/>
      <c r="D139" s="10"/>
    </row>
    <row r="140" spans="1:4" x14ac:dyDescent="0.25">
      <c r="A140" s="1"/>
      <c r="B140" s="2"/>
      <c r="C140" s="10"/>
      <c r="D140" s="10"/>
    </row>
    <row r="141" spans="1:4" x14ac:dyDescent="0.25">
      <c r="A141" s="1"/>
      <c r="B141" s="2"/>
      <c r="C141" s="10"/>
      <c r="D141" s="10"/>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2"/>
      <c r="B145" s="2"/>
      <c r="C145" s="10"/>
      <c r="D145" s="10"/>
    </row>
    <row r="146" spans="1:4" x14ac:dyDescent="0.25">
      <c r="A146" s="2"/>
      <c r="B146" s="2"/>
      <c r="C146" s="10"/>
      <c r="D146" s="10"/>
    </row>
    <row r="147" spans="1:4" x14ac:dyDescent="0.25">
      <c r="A147" s="2"/>
      <c r="B147" s="2"/>
      <c r="C147" s="10"/>
      <c r="D147" s="10"/>
    </row>
    <row r="148" spans="1:4" x14ac:dyDescent="0.25">
      <c r="A148" s="51"/>
      <c r="B148" s="51"/>
      <c r="C148" s="52"/>
      <c r="D148" s="52"/>
    </row>
    <row r="149" spans="1:4" x14ac:dyDescent="0.25">
      <c r="A149" s="51"/>
      <c r="B149" s="51"/>
      <c r="C149" s="52"/>
      <c r="D149" s="52"/>
    </row>
    <row r="150" spans="1:4" ht="14.25" thickBot="1" x14ac:dyDescent="0.3">
      <c r="A150" s="3"/>
      <c r="B150" s="3"/>
      <c r="C150" s="11"/>
      <c r="D150" s="11"/>
    </row>
    <row r="151" spans="1:4" ht="14.25" thickBot="1" x14ac:dyDescent="0.3">
      <c r="A151" s="48" t="s">
        <v>21</v>
      </c>
      <c r="B151" s="48">
        <f>SUM(B136:B150)</f>
        <v>0</v>
      </c>
      <c r="C151" s="90" t="s">
        <v>27</v>
      </c>
      <c r="D151" s="49"/>
    </row>
    <row r="152" spans="1:4" ht="14.25" x14ac:dyDescent="0.3">
      <c r="A152" s="50"/>
      <c r="B152" s="50"/>
      <c r="C152" s="50"/>
      <c r="D152" s="50"/>
    </row>
    <row r="153" spans="1:4" x14ac:dyDescent="0.25">
      <c r="A153" s="89" t="s">
        <v>28</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xr:uid="{18D5D6DF-59EA-4140-BCB8-20ACA107F6DF}">
      <formula1>0</formula1>
      <formula2>DureePeriode-1</formula2>
    </dataValidation>
    <dataValidation type="whole" errorStyle="warning" operator="greaterThan" allowBlank="1" showInputMessage="1" showErrorMessage="1" errorTitle="Durée en 1/3 de période" error="Le nombre doit être de type entier" sqref="F27:F34 B3:B17 B22:B36 B41:B55 B60:B74 B79:B93 B98:B112 B117:B131 B136:B150" xr:uid="{41066A8D-6E0C-4C02-AEF8-EEACDDCAE802}">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B151" xr:uid="{F9568E57-22C9-44F7-93E4-F80BC0743D60}">
      <formula1>0</formula1>
      <formula2>NbPerWeek * NbQuartPer</formula2>
    </dataValidation>
    <dataValidation type="list" allowBlank="1" showInputMessage="1" showErrorMessage="1" sqref="A3:A17 A22:A36 A41:A55 A60:A74 A79:A93 A98:A112 A117:A131 A136:A150" xr:uid="{878D4CA5-6EE3-4CE8-8BE9-0AF7196CBA94}">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0961"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0961" r:id="rId4" name="btnImportRealis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Belge" ma:contentTypeID="0x0101001ABD9BFFC9E543439C53A2705AE306EF" ma:contentTypeVersion="14" ma:contentTypeDescription="Yeni belge oluşturun." ma:contentTypeScope="" ma:versionID="ee0afad02cec1cb5c008e069b7696935">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071b3019c14a3acff1c11c5229ff0248"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Resim Etiketleri"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ylaşılanla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Ayrıntıları ile Paylaşıldı"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çerik Türü"/>
        <xsd:element ref="dc:title" minOccurs="0" maxOccurs="1" ma:index="4" ma:displayName="Başlık"/>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5235525-7A96-4FDC-BE0C-FC0EC8076A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C29126A-0525-4FCA-A870-5924A033DD5A}">
  <ds:schemaRefs>
    <ds:schemaRef ds:uri="http://schemas.microsoft.com/office/2006/metadata/properties"/>
    <ds:schemaRef ds:uri="http://schemas.microsoft.com/office/infopath/2007/PartnerControls"/>
    <ds:schemaRef ds:uri="bf2f2df3-a963-4452-b0e7-67dabc627c35"/>
    <ds:schemaRef ds:uri="f7d9f5a6-831d-4621-8c77-cbcaf993e406"/>
  </ds:schemaRefs>
</ds:datastoreItem>
</file>

<file path=customXml/itemProps3.xml><?xml version="1.0" encoding="utf-8"?>
<ds:datastoreItem xmlns:ds="http://schemas.openxmlformats.org/officeDocument/2006/customXml" ds:itemID="{483719EA-391A-4C4B-985B-9805B7FCB9D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11</vt:i4>
      </vt:variant>
    </vt:vector>
  </HeadingPairs>
  <TitlesOfParts>
    <vt:vector size="18" baseType="lpstr">
      <vt:lpstr>Donnees</vt:lpstr>
      <vt:lpstr>DiagramHeader</vt:lpstr>
      <vt:lpstr>DiagramFooter</vt:lpstr>
      <vt:lpstr>PlanificationWeek</vt:lpstr>
      <vt:lpstr>Planning</vt:lpstr>
      <vt:lpstr>achievementWeek</vt:lpstr>
      <vt:lpstr>JNLTRAV</vt:lpstr>
      <vt:lpstr>datDateBegin</vt:lpstr>
      <vt:lpstr>lstTasks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Gonzalo Javier Herrera Egoavil</dc:creator>
  <cp:lastModifiedBy>Gonzalo Javier Herrera Egoavil</cp:lastModifiedBy>
  <cp:lastPrinted>2013-08-29T11:33:15Z</cp:lastPrinted>
  <dcterms:created xsi:type="dcterms:W3CDTF">1996-10-21T11:03:58Z</dcterms:created>
  <dcterms:modified xsi:type="dcterms:W3CDTF">2024-10-02T09:27:49Z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