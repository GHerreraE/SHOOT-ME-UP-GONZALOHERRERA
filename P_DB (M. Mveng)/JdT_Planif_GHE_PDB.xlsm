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DB (M. Mveng)\"/>
    </mc:Choice>
  </mc:AlternateContent>
  <xr:revisionPtr revIDLastSave="0" documentId="13_ncr:1_{CBD86D1E-58F0-43E8-9758-4AAC66CE2D68}"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<sst xmlns="http://schemas.openxmlformats.org/spreadsheetml/2006/main" count="268" uniqueCount="98">
  <si>
    <t>Module :</t>
  </si>
  <si>
    <t>Classe :</t>
  </si>
  <si>
    <t>Lieu :</t>
  </si>
  <si>
    <t>Tâche</t>
  </si>
  <si>
    <t>Prénom - nom :</t>
  </si>
  <si>
    <t>Tâches - objectifs</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</si>
  <si>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</si>
  <si>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</si>
  <si>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</si>
  <si>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</si>
  <si>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</si>
  <si>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</si>
  <si>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</si>
  <si>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</si>
  <si>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</si>
  <si>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</si>
  <si>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</si>
  <si>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</si>
  <si>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</si>
  <si>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</si>
  <si>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</si>
  <si>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</si>
  <si>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</si>
  <si>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P_DB</t>
  </si>
  <si>
    <t>Gonzalo Javier Herrera Egoavil</t>
  </si>
  <si>
    <t>CID2B</t>
  </si>
  <si>
    <t>Vennes - Lausanne</t>
  </si>
  <si>
    <t>Max. 9</t>
  </si>
  <si>
    <t>STOP</t>
  </si>
  <si>
    <t>Introduction</t>
  </si>
  <si>
    <t>Cahier de charges</t>
  </si>
  <si>
    <t>Journal de travail</t>
  </si>
  <si>
    <t>Planification</t>
  </si>
  <si>
    <t>Améliorations</t>
  </si>
  <si>
    <t>Correction de vocabulaire</t>
  </si>
  <si>
    <t>Rendu du projet</t>
  </si>
  <si>
    <t>Evaluation de 50%</t>
  </si>
  <si>
    <t>MCD</t>
  </si>
  <si>
    <t>MLD - Looping</t>
  </si>
  <si>
    <t>MCD - Looping</t>
  </si>
  <si>
    <t>Base de données</t>
  </si>
  <si>
    <t>Verification de MCD</t>
  </si>
  <si>
    <t>Manipulation DB</t>
  </si>
  <si>
    <t>Requetes SQL</t>
  </si>
  <si>
    <t>Type d'utilisateurs</t>
  </si>
  <si>
    <t>Introduction du projet de la part du professeur</t>
  </si>
  <si>
    <t>Modification et comprension du cahier de charges</t>
  </si>
  <si>
    <t>Faire une partie de la planification</t>
  </si>
  <si>
    <t>Avancer le journal de travail</t>
  </si>
  <si>
    <t>Finir la planification des semaines</t>
  </si>
  <si>
    <t>Avancer avec le MLC avec Looping</t>
  </si>
  <si>
    <t>Vérification que le MLD ait du sens à fin de pouvoir faire des améliorations dans le MCD</t>
  </si>
  <si>
    <t>Changer et améliorer mon MCD</t>
  </si>
  <si>
    <t>Vérifier mon MCD avec l'aide ou support d'un professeur. Dans le cas qu'ils ne puissent pas, alors j'utiliserai ChatGPT pour le faire.</t>
  </si>
  <si>
    <t>Exporter le SQL de Looping à fin d'avoir les tables pour ma basse de donné.</t>
  </si>
  <si>
    <t>Modifier mon fichier SQL à fin de pouvoir l'importer dans MYSQL puis pouvoir manipuler la basse de donnée. Avant cela, vérifier les FK, PK, ETC</t>
  </si>
  <si>
    <t xml:space="preserve">Demander à ChatGPT de me donner des données fauses pour mettre dans mon DB puis les introduire par la console. </t>
  </si>
  <si>
    <t>Avancer le journal de travail de la semaine précedent et cette semaine.</t>
  </si>
  <si>
    <t>Attendre l'evaluation de 50% pour pouvoir faire des améliorations sur ma basse de donnée</t>
  </si>
  <si>
    <t>Rapport</t>
  </si>
  <si>
    <t>Avancer le rapport avec les données obtenus pour l'instant</t>
  </si>
  <si>
    <t>Avancer les amélioratios obtenus grâce à l'evaluation</t>
  </si>
  <si>
    <t>Avancer le rapport, ajouter les requetes.</t>
  </si>
  <si>
    <t>Faire les requetes demandés, tester et vérifier (A finir)</t>
  </si>
  <si>
    <t xml:space="preserve">Finir avec les requetes sql et les vérifier </t>
  </si>
  <si>
    <t>Ajouter les nouvelles requetes et commencer à vérifier que cette partie de DB il ne manque rien</t>
  </si>
  <si>
    <t>Avancer le journal de travail, reviser et faire des correction de orthographe. Aussi mettre des liens de references s'il faut.</t>
  </si>
  <si>
    <t>Faire de correction comment le mise en page, orthographe, données, position de photos et etc. De facons que ca soit bien lisible et comprensible.</t>
  </si>
  <si>
    <t>Faire les dernières corrections et les dernières lignes de journal de travail.</t>
  </si>
  <si>
    <t>Vérifier que dans le repos ait tout ce qu'il faut pour bien rendre le projet. A vérifier avec le cahier de charges.</t>
  </si>
  <si>
    <t>s</t>
  </si>
  <si>
    <t>Introduction du projet par la part du professeur</t>
  </si>
  <si>
    <t>Planning</t>
  </si>
  <si>
    <t>Avancer avec le journal de travail, mais ca reste à finir puisque le cahier de charges n'est pas complet.</t>
  </si>
  <si>
    <t>Avancer le rapport avec les sujets qu'on aura besoin. Pareil que le planning, à finir à cause de manque d'information pour ce projet.</t>
  </si>
  <si>
    <t>J'ai avancé et j'ai fini le planning. Les informations manquant ont été données et j'ai pu finir le planning pour toutes les semaines.</t>
  </si>
  <si>
    <t xml:space="preserve">J'ai avancé un peu le MCD. Il manque créer quelques tables. </t>
  </si>
  <si>
    <t>J'ai fait le journal de travail pour la semaine passée et cette semaine.</t>
  </si>
  <si>
    <t>SQL</t>
  </si>
  <si>
    <t>J'ai travaillé et fait des exercices qui me permettron manipuler et créer ma basse de donnée avec la console pour ce projet.</t>
  </si>
  <si>
    <t>J'ai travaillé avec looping, mais il y a encore des tableaux vides puisque chaque fois il y a de nouvelles consignes et on faire faire de changements. Pour la semaine prochaine devra etre fini.</t>
  </si>
  <si>
    <t>J'ai avancé mon journal de travail de cette semaine.</t>
  </si>
  <si>
    <t>On a fait le premier test du module I106.</t>
  </si>
  <si>
    <t>J'ai travaillé un peu sur mon MCD avec Looping mais après je me suis rendu compte que je devais changer un peu tout et attendre à la semaine prochaine pour avoir un peu plus claire les tables que je vais faire puisque en POO j'ai decidée de changer en mode console.</t>
  </si>
  <si>
    <t>J'ai fait la structure de mon rapport pour y travailler les semanes suivantes.</t>
  </si>
  <si>
    <t>J'ai complété le journal de travail de la semaine 4 et aussi de cette semaine.</t>
  </si>
  <si>
    <t xml:space="preserve">Journal de travail </t>
  </si>
  <si>
    <t>J'ai travaillé sur mon MCD, j'ai crée des nouvelles tables, j'ai fais le liens avec les carnalités puis je pense que j'ai fini avec cela. Peut etre il reste faire des ameliorations en rapport avec les nouvelles normes de codage ETML</t>
  </si>
  <si>
    <t>j'ai fait mon journal de travail de cette semaine</t>
  </si>
  <si>
    <t>TEST PRATIQUE</t>
  </si>
  <si>
    <t>TEST</t>
  </si>
  <si>
    <t>Looping</t>
  </si>
  <si>
    <t>J'ai fait des vérification sur looping et j'ai fait des petis corrections sur quelques tables, après j'ai exporté sur mon rapport</t>
  </si>
  <si>
    <t>J'ai crée une petite base de données avec ce qui  était demandé sur le cahier de charges et je l'ai implementé sur ma base de donnée.</t>
  </si>
  <si>
    <t>Structure</t>
  </si>
  <si>
    <t>J'ai exporté le structure de la base de données sur mysql</t>
  </si>
  <si>
    <t>J'ai complété mon rapport</t>
  </si>
  <si>
    <t>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</si>
</sst>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B11"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23</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45532</v>
      </c>
      <c r="D9" s="60"/>
      <c r="E9" s="60"/>
      <c r="F9" s="60"/>
      <c r="G9" s="61"/>
    </row>
    <row r="10" spans="1:7" ht="20.25" x14ac:dyDescent="0.25">
      <c r="A10" s="59"/>
      <c r="B10" s="69" t="s">
        <v>7</v>
      </c>
      <c r="C10" s="70">
        <v>45597</v>
      </c>
      <c r="D10" s="60"/>
      <c r="E10" s="60"/>
      <c r="F10" s="60"/>
      <c r="G10" s="61"/>
    </row>
    <row r="11" spans="1:7" ht="20.25" x14ac:dyDescent="0.25">
      <c r="A11" s="59"/>
      <c r="B11" s="69" t="s">
        <v>9</v>
      </c>
      <c r="C11" s="71">
        <v>8</v>
      </c>
      <c r="D11" s="60"/>
      <c r="E11" s="60"/>
      <c r="F11" s="60"/>
      <c r="G11" s="61"/>
    </row>
    <row r="12" spans="1:7" ht="20.25" x14ac:dyDescent="0.25">
      <c r="A12" s="59"/>
      <c r="B12" s="64" t="s">
        <v>10</v>
      </c>
      <c r="C12" s="72">
        <v>3</v>
      </c>
      <c r="D12" s="60"/>
      <c r="E12" s="60"/>
      <c r="F12" s="60"/>
      <c r="G12" s="61"/>
    </row>
    <row r="13" spans="1:7" ht="20.25" x14ac:dyDescent="0.25">
      <c r="A13" s="59"/>
      <c r="B13" s="64" t="s">
        <v>11</v>
      </c>
      <c r="C13" s="72">
        <v>3</v>
      </c>
      <c r="D13" s="60"/>
      <c r="E13" s="60"/>
      <c r="F13" s="60"/>
      <c r="G13" s="61"/>
    </row>
    <row r="14" spans="1:7" ht="20.25" thickBot="1" x14ac:dyDescent="0.3">
      <c r="A14" s="59"/>
      <c r="B14" s="73"/>
      <c r="C14" s="74"/>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18</v>
      </c>
      <c r="C19" s="96"/>
      <c r="D19" s="60"/>
      <c r="E19" s="60"/>
      <c r="F19" s="60"/>
      <c r="G19" s="61"/>
    </row>
    <row r="20" spans="1:13" ht="20.25" x14ac:dyDescent="0.25">
      <c r="A20" s="79"/>
      <c r="B20" s="80" t="s">
        <v>19</v>
      </c>
      <c r="C20" s="81" t="s">
        <v>20</v>
      </c>
      <c r="D20" s="60"/>
      <c r="E20" s="60"/>
      <c r="F20" s="60"/>
      <c r="G20" s="61"/>
    </row>
    <row r="21" spans="1:13" ht="20.25" x14ac:dyDescent="0.25">
      <c r="A21" s="79"/>
      <c r="B21" s="80">
        <v>1</v>
      </c>
      <c r="C21" s="70" t="s">
        <v>29</v>
      </c>
      <c r="D21" s="60"/>
      <c r="E21" s="60"/>
      <c r="F21" s="60"/>
      <c r="G21" s="61"/>
    </row>
    <row r="22" spans="1:13" ht="20.25" x14ac:dyDescent="0.25">
      <c r="A22" s="79"/>
      <c r="B22" s="80">
        <v>2</v>
      </c>
      <c r="C22" s="71" t="s">
        <v>30</v>
      </c>
      <c r="D22" s="60"/>
      <c r="E22" s="60"/>
      <c r="F22" s="60"/>
      <c r="G22" s="61"/>
    </row>
    <row r="23" spans="1:13" ht="20.25" x14ac:dyDescent="0.25">
      <c r="A23" s="79"/>
      <c r="B23" s="82">
        <v>3</v>
      </c>
      <c r="C23" s="71" t="s">
        <v>31</v>
      </c>
      <c r="D23" s="60"/>
      <c r="E23" s="60"/>
      <c r="F23" s="60"/>
      <c r="G23" s="61"/>
    </row>
    <row r="24" spans="1:13" ht="20.25" x14ac:dyDescent="0.25">
      <c r="A24" s="79"/>
      <c r="B24" s="80">
        <v>4</v>
      </c>
      <c r="C24" s="71" t="s">
        <v>32</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35</v>
      </c>
      <c r="D27" s="60"/>
      <c r="E27" s="60"/>
      <c r="F27" s="60"/>
      <c r="G27" s="61"/>
    </row>
    <row r="28" spans="1:13" ht="20.25" x14ac:dyDescent="0.25">
      <c r="A28" s="79"/>
      <c r="B28" s="80">
        <v>8</v>
      </c>
      <c r="C28" s="72" t="s">
        <v>36</v>
      </c>
      <c r="D28" s="60"/>
      <c r="E28" s="60"/>
      <c r="F28" s="60"/>
      <c r="G28" s="61"/>
    </row>
    <row r="29" spans="1:13" ht="20.25" x14ac:dyDescent="0.25">
      <c r="A29" s="79"/>
      <c r="B29" s="82">
        <v>9</v>
      </c>
      <c r="C29" s="72" t="s">
        <v>38</v>
      </c>
      <c r="D29" s="60"/>
      <c r="E29" s="60"/>
      <c r="F29" s="60"/>
      <c r="G29" s="61"/>
    </row>
    <row r="30" spans="1:13" ht="20.25" x14ac:dyDescent="0.25">
      <c r="A30" s="79"/>
      <c r="B30" s="80">
        <v>10</v>
      </c>
      <c r="C30" s="71" t="s">
        <v>39</v>
      </c>
      <c r="D30" s="60"/>
      <c r="E30" s="60"/>
      <c r="F30" s="60"/>
      <c r="G30" s="61"/>
    </row>
    <row r="31" spans="1:13" ht="20.25" x14ac:dyDescent="0.25">
      <c r="A31" s="79"/>
      <c r="B31" s="80">
        <v>11</v>
      </c>
      <c r="C31" s="71" t="s">
        <v>40</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59</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17</v>
      </c>
    </row>
    <row r="3" spans="1:4" ht="19.5" customHeight="1" x14ac:dyDescent="0.25">
      <c r="A3" s="19"/>
      <c r="B3" s="97" t="s">
        <v>20</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3</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86DD5-BFE6-46DB-8EB7-747332CE9968}">
  <sheetPr codeName="Feuil5"/>
  <dimension ref="A1:I113"/>
  <sheetViews>
    <sheetView workbookViewId="0">
      <selection activeCell="C104" sqref="C104"/>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3</v>
      </c>
      <c r="B2" s="18" t="s">
        <v>14</v>
      </c>
      <c r="C2" s="8" t="s">
        <v>6</v>
      </c>
      <c r="D2" s="8" t="s">
        <v>12</v>
      </c>
    </row>
    <row r="3" spans="1:4" s="53" customFormat="1" x14ac:dyDescent="0.25">
      <c r="A3" s="91" t="s">
        <v>29</v>
      </c>
      <c r="B3" s="4">
        <v>3</v>
      </c>
      <c r="C3" s="92" t="s">
        <v>45</v>
      </c>
      <c r="D3" s="9"/>
    </row>
    <row r="4" spans="1:4" s="53" customFormat="1" x14ac:dyDescent="0.25">
      <c r="A4" s="1" t="s">
        <v>30</v>
      </c>
      <c r="B4" s="2">
        <v>3</v>
      </c>
      <c r="C4" s="93" t="s">
        <v>46</v>
      </c>
      <c r="D4" s="10"/>
    </row>
    <row r="5" spans="1:4" s="53" customFormat="1" x14ac:dyDescent="0.25">
      <c r="A5" s="1" t="s">
        <v>32</v>
      </c>
      <c r="B5" s="2">
        <v>2</v>
      </c>
      <c r="C5" s="93" t="s">
        <v>47</v>
      </c>
      <c r="D5" s="10"/>
    </row>
    <row r="6" spans="1:4" s="53" customFormat="1" x14ac:dyDescent="0.25">
      <c r="A6" s="1" t="s">
        <v>31</v>
      </c>
      <c r="B6" s="2">
        <v>1</v>
      </c>
      <c r="C6" s="93" t="s">
        <v>48</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9</v>
      </c>
      <c r="C13" s="88" t="s">
        <v>27</v>
      </c>
      <c r="D13" s="13"/>
    </row>
    <row r="14" spans="1:4" ht="15" thickBot="1" x14ac:dyDescent="0.35">
      <c r="A14" s="14"/>
      <c r="B14" s="14"/>
      <c r="C14" s="14"/>
      <c r="D14" s="14"/>
    </row>
    <row r="15" spans="1:4" ht="18.75" thickBot="1" x14ac:dyDescent="0.3">
      <c r="A15" s="6" t="s">
        <v>13</v>
      </c>
      <c r="B15" s="7">
        <v>2</v>
      </c>
      <c r="C15" s="17"/>
      <c r="D15" s="87"/>
    </row>
    <row r="16" spans="1:4" ht="27.75" thickBot="1" x14ac:dyDescent="0.3">
      <c r="A16" s="8" t="s">
        <v>3</v>
      </c>
      <c r="B16" s="18" t="s">
        <v>14</v>
      </c>
      <c r="C16" s="8" t="s">
        <v>6</v>
      </c>
      <c r="D16" s="8" t="s">
        <v>12</v>
      </c>
    </row>
    <row r="17" spans="1:9" x14ac:dyDescent="0.25">
      <c r="A17" s="91" t="s">
        <v>32</v>
      </c>
      <c r="B17" s="4">
        <v>2</v>
      </c>
      <c r="C17" s="92" t="s">
        <v>49</v>
      </c>
      <c r="D17" s="9"/>
    </row>
    <row r="18" spans="1:9" x14ac:dyDescent="0.25">
      <c r="A18" s="94" t="s">
        <v>39</v>
      </c>
      <c r="B18" s="2">
        <v>6</v>
      </c>
      <c r="C18" s="93" t="s">
        <v>50</v>
      </c>
      <c r="D18" s="10"/>
    </row>
    <row r="19" spans="1:9" x14ac:dyDescent="0.25">
      <c r="A19" s="94" t="s">
        <v>31</v>
      </c>
      <c r="B19" s="2">
        <v>1</v>
      </c>
      <c r="C19" s="93" t="s">
        <v>48</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21</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13</v>
      </c>
      <c r="B29" s="7">
        <v>3</v>
      </c>
      <c r="C29" s="17"/>
      <c r="D29" s="87"/>
      <c r="E29" s="20"/>
      <c r="F29" s="37"/>
      <c r="G29" s="38"/>
      <c r="H29" s="38"/>
      <c r="I29" s="20"/>
    </row>
    <row r="30" spans="1:9" ht="27.75" thickBot="1" x14ac:dyDescent="0.3">
      <c r="A30" s="8" t="s">
        <v>3</v>
      </c>
      <c r="B30" s="18" t="s">
        <v>14</v>
      </c>
      <c r="C30" s="8" t="s">
        <v>6</v>
      </c>
      <c r="D30" s="8" t="s">
        <v>12</v>
      </c>
      <c r="E30" s="20"/>
      <c r="F30" s="39"/>
      <c r="G30" s="40"/>
      <c r="H30" s="40"/>
      <c r="I30" s="20"/>
    </row>
    <row r="31" spans="1:9" ht="14.25" x14ac:dyDescent="0.3">
      <c r="A31" s="5" t="s">
        <v>38</v>
      </c>
      <c r="B31" s="4">
        <v>2</v>
      </c>
      <c r="C31" s="92" t="s">
        <v>51</v>
      </c>
      <c r="D31" s="9"/>
      <c r="E31" s="20"/>
      <c r="F31" s="41"/>
      <c r="G31" s="41"/>
      <c r="H31" s="41"/>
      <c r="I31" s="20"/>
    </row>
    <row r="32" spans="1:9" x14ac:dyDescent="0.25">
      <c r="A32" s="1" t="s">
        <v>39</v>
      </c>
      <c r="B32" s="2">
        <v>3</v>
      </c>
      <c r="C32" s="93" t="s">
        <v>52</v>
      </c>
      <c r="D32" s="10"/>
      <c r="E32" s="20"/>
      <c r="F32" s="20"/>
      <c r="G32" s="20"/>
      <c r="H32" s="20"/>
      <c r="I32" s="20"/>
    </row>
    <row r="33" spans="1:9" ht="27" x14ac:dyDescent="0.25">
      <c r="A33" s="1" t="s">
        <v>41</v>
      </c>
      <c r="B33" s="2">
        <v>3</v>
      </c>
      <c r="C33" s="93" t="s">
        <v>53</v>
      </c>
      <c r="D33" s="10"/>
      <c r="E33" s="20"/>
      <c r="F33" s="20"/>
      <c r="G33" s="20"/>
      <c r="H33" s="20"/>
      <c r="I33" s="20"/>
    </row>
    <row r="34" spans="1:9" x14ac:dyDescent="0.25">
      <c r="A34" s="1" t="s">
        <v>42</v>
      </c>
      <c r="B34" s="2">
        <v>1</v>
      </c>
      <c r="C34" s="93" t="s">
        <v>54</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21</v>
      </c>
      <c r="B41" s="12">
        <f>SUM(B31:B40)</f>
        <v>9</v>
      </c>
      <c r="C41" s="88" t="s">
        <v>27</v>
      </c>
      <c r="D41" s="13"/>
    </row>
    <row r="42" spans="1:9" ht="15" thickBot="1" x14ac:dyDescent="0.35">
      <c r="A42" s="14"/>
      <c r="B42" s="14"/>
      <c r="C42" s="14"/>
      <c r="D42" s="14"/>
    </row>
    <row r="43" spans="1:9" ht="18.75" thickBot="1" x14ac:dyDescent="0.3">
      <c r="A43" s="6" t="s">
        <v>13</v>
      </c>
      <c r="B43" s="7">
        <v>4</v>
      </c>
      <c r="C43" s="17"/>
      <c r="D43" s="87"/>
    </row>
    <row r="44" spans="1:9" ht="27.75" thickBot="1" x14ac:dyDescent="0.3">
      <c r="A44" s="8" t="s">
        <v>3</v>
      </c>
      <c r="B44" s="18" t="s">
        <v>14</v>
      </c>
      <c r="C44" s="8" t="s">
        <v>6</v>
      </c>
      <c r="D44" s="8" t="s">
        <v>12</v>
      </c>
    </row>
    <row r="45" spans="1:9" ht="27" x14ac:dyDescent="0.25">
      <c r="A45" s="5" t="s">
        <v>42</v>
      </c>
      <c r="B45" s="4">
        <v>3</v>
      </c>
      <c r="C45" s="92" t="s">
        <v>55</v>
      </c>
      <c r="D45" s="9"/>
    </row>
    <row r="46" spans="1:9" ht="27" x14ac:dyDescent="0.25">
      <c r="A46" s="1" t="s">
        <v>40</v>
      </c>
      <c r="B46" s="2">
        <v>4</v>
      </c>
      <c r="C46" s="93" t="s">
        <v>56</v>
      </c>
      <c r="D46" s="10"/>
    </row>
    <row r="47" spans="1:9" x14ac:dyDescent="0.25">
      <c r="A47" s="1" t="s">
        <v>31</v>
      </c>
      <c r="B47" s="2">
        <v>2</v>
      </c>
      <c r="C47" s="93" t="s">
        <v>57</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8" t="s">
        <v>27</v>
      </c>
      <c r="D55" s="13"/>
    </row>
    <row r="56" spans="1:4" ht="15" thickBot="1" x14ac:dyDescent="0.35">
      <c r="A56" s="14"/>
      <c r="B56" s="14"/>
      <c r="C56" s="14"/>
      <c r="D56" s="14"/>
    </row>
    <row r="57" spans="1:4" ht="18.75" thickBot="1" x14ac:dyDescent="0.3">
      <c r="A57" s="6" t="s">
        <v>13</v>
      </c>
      <c r="B57" s="7">
        <v>5</v>
      </c>
      <c r="C57" s="17"/>
      <c r="D57" s="87"/>
    </row>
    <row r="58" spans="1:4" ht="27.75" thickBot="1" x14ac:dyDescent="0.3">
      <c r="A58" s="8" t="s">
        <v>3</v>
      </c>
      <c r="B58" s="18" t="s">
        <v>14</v>
      </c>
      <c r="C58" s="8" t="s">
        <v>6</v>
      </c>
      <c r="D58" s="8" t="s">
        <v>12</v>
      </c>
    </row>
    <row r="59" spans="1:4" x14ac:dyDescent="0.25">
      <c r="A59" s="5" t="s">
        <v>36</v>
      </c>
      <c r="B59" s="4">
        <v>2</v>
      </c>
      <c r="C59" s="92" t="s">
        <v>58</v>
      </c>
      <c r="D59" s="9"/>
    </row>
    <row r="60" spans="1:4" x14ac:dyDescent="0.25">
      <c r="A60" s="94" t="s">
        <v>59</v>
      </c>
      <c r="B60" s="2">
        <v>5</v>
      </c>
      <c r="C60" s="93" t="s">
        <v>60</v>
      </c>
      <c r="D60" s="10"/>
    </row>
    <row r="61" spans="1:4" x14ac:dyDescent="0.25">
      <c r="A61" s="1" t="s">
        <v>33</v>
      </c>
      <c r="B61" s="2">
        <v>1</v>
      </c>
      <c r="C61" s="93" t="s">
        <v>61</v>
      </c>
      <c r="D61" s="10"/>
    </row>
    <row r="62" spans="1:4" x14ac:dyDescent="0.25">
      <c r="A62" s="1" t="s">
        <v>31</v>
      </c>
      <c r="B62" s="2">
        <v>1</v>
      </c>
      <c r="C62" s="93" t="s">
        <v>48</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8" t="s">
        <v>27</v>
      </c>
      <c r="D69" s="13"/>
    </row>
    <row r="70" spans="1:4" ht="15" thickBot="1" x14ac:dyDescent="0.35">
      <c r="A70" s="14"/>
      <c r="B70" s="14"/>
      <c r="C70" s="14"/>
      <c r="D70" s="14"/>
    </row>
    <row r="71" spans="1:4" ht="18.75" thickBot="1" x14ac:dyDescent="0.3">
      <c r="A71" s="6" t="s">
        <v>13</v>
      </c>
      <c r="B71" s="7">
        <v>6</v>
      </c>
      <c r="C71" s="17"/>
      <c r="D71" s="87"/>
    </row>
    <row r="72" spans="1:4" ht="27.75" thickBot="1" x14ac:dyDescent="0.3">
      <c r="A72" s="8" t="s">
        <v>3</v>
      </c>
      <c r="B72" s="18" t="s">
        <v>14</v>
      </c>
      <c r="C72" s="8" t="s">
        <v>6</v>
      </c>
      <c r="D72" s="8" t="s">
        <v>12</v>
      </c>
    </row>
    <row r="73" spans="1:4" x14ac:dyDescent="0.25">
      <c r="A73" s="5" t="s">
        <v>43</v>
      </c>
      <c r="B73" s="4">
        <v>4</v>
      </c>
      <c r="C73" s="92" t="s">
        <v>63</v>
      </c>
      <c r="D73" s="9"/>
    </row>
    <row r="74" spans="1:4" x14ac:dyDescent="0.25">
      <c r="A74" s="94" t="s">
        <v>59</v>
      </c>
      <c r="B74" s="2">
        <v>4</v>
      </c>
      <c r="C74" s="93" t="s">
        <v>62</v>
      </c>
      <c r="D74" s="10"/>
    </row>
    <row r="75" spans="1:4" x14ac:dyDescent="0.25">
      <c r="A75" s="94" t="s">
        <v>31</v>
      </c>
      <c r="B75" s="2">
        <v>1</v>
      </c>
      <c r="C75" s="93" t="s">
        <v>48</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9</v>
      </c>
      <c r="C83" s="88" t="s">
        <v>27</v>
      </c>
      <c r="D83" s="13"/>
    </row>
    <row r="84" spans="1:4" ht="15" thickBot="1" x14ac:dyDescent="0.35">
      <c r="A84" s="14"/>
      <c r="B84" s="14"/>
      <c r="C84" s="14"/>
      <c r="D84" s="14"/>
    </row>
    <row r="85" spans="1:4" ht="18.75" thickBot="1" x14ac:dyDescent="0.3">
      <c r="A85" s="6" t="s">
        <v>13</v>
      </c>
      <c r="B85" s="7">
        <v>7</v>
      </c>
      <c r="C85" s="17"/>
      <c r="D85" s="87"/>
    </row>
    <row r="86" spans="1:4" ht="27.75" thickBot="1" x14ac:dyDescent="0.3">
      <c r="A86" s="8" t="s">
        <v>3</v>
      </c>
      <c r="B86" s="18" t="s">
        <v>14</v>
      </c>
      <c r="C86" s="8" t="s">
        <v>6</v>
      </c>
      <c r="D86" s="8" t="s">
        <v>12</v>
      </c>
    </row>
    <row r="87" spans="1:4" x14ac:dyDescent="0.25">
      <c r="A87" s="91" t="s">
        <v>43</v>
      </c>
      <c r="B87" s="4">
        <v>3</v>
      </c>
      <c r="C87" s="92" t="s">
        <v>64</v>
      </c>
      <c r="D87" s="9"/>
    </row>
    <row r="88" spans="1:4" ht="27" x14ac:dyDescent="0.25">
      <c r="A88" s="94" t="s">
        <v>59</v>
      </c>
      <c r="B88" s="2">
        <v>3</v>
      </c>
      <c r="C88" s="93" t="s">
        <v>65</v>
      </c>
      <c r="D88" s="10"/>
    </row>
    <row r="89" spans="1:4" ht="27" x14ac:dyDescent="0.25">
      <c r="A89" s="94" t="s">
        <v>31</v>
      </c>
      <c r="B89" s="2">
        <v>3</v>
      </c>
      <c r="C89" s="93" t="s">
        <v>66</v>
      </c>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9</v>
      </c>
      <c r="C97" s="88" t="s">
        <v>27</v>
      </c>
      <c r="D97" s="13"/>
    </row>
    <row r="98" spans="1:4" ht="15" thickBot="1" x14ac:dyDescent="0.35">
      <c r="A98" s="14"/>
      <c r="B98" s="14"/>
      <c r="C98" s="14"/>
      <c r="D98" s="14"/>
    </row>
    <row r="99" spans="1:4" ht="18.75" thickBot="1" x14ac:dyDescent="0.3">
      <c r="A99" s="6" t="s">
        <v>13</v>
      </c>
      <c r="B99" s="7">
        <v>8</v>
      </c>
      <c r="C99" s="17"/>
      <c r="D99" s="87"/>
    </row>
    <row r="100" spans="1:4" ht="27.75" thickBot="1" x14ac:dyDescent="0.3">
      <c r="A100" s="8" t="s">
        <v>3</v>
      </c>
      <c r="B100" s="18" t="s">
        <v>14</v>
      </c>
      <c r="C100" s="8" t="s">
        <v>6</v>
      </c>
      <c r="D100" s="8" t="s">
        <v>12</v>
      </c>
    </row>
    <row r="101" spans="1:4" ht="27" x14ac:dyDescent="0.25">
      <c r="A101" s="91" t="s">
        <v>59</v>
      </c>
      <c r="B101" s="4">
        <v>4</v>
      </c>
      <c r="C101" s="92" t="s">
        <v>67</v>
      </c>
      <c r="D101" s="9"/>
    </row>
    <row r="102" spans="1:4" x14ac:dyDescent="0.25">
      <c r="A102" s="94" t="s">
        <v>31</v>
      </c>
      <c r="B102" s="2">
        <v>3</v>
      </c>
      <c r="C102" s="93" t="s">
        <v>68</v>
      </c>
      <c r="D102" s="10"/>
    </row>
    <row r="103" spans="1:4" ht="27" x14ac:dyDescent="0.25">
      <c r="A103" s="94" t="s">
        <v>35</v>
      </c>
      <c r="B103" s="2">
        <v>2</v>
      </c>
      <c r="C103" s="93" t="s">
        <v>69</v>
      </c>
      <c r="D103" s="10"/>
    </row>
    <row r="104" spans="1:4" x14ac:dyDescent="0.25">
      <c r="A104" s="1"/>
      <c r="B104" s="2"/>
      <c r="C104" s="93" t="s">
        <v>70</v>
      </c>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63C16A73-D100-4814-82C0-F9FBECDA357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56BAA7C9-A853-492E-8F03-D8F4EBDD4B9D}">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7787DA8D-782B-4705-9A9D-37FA74D6FA5E}">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ED974A9F-07A1-4C2F-93F4-FDFA8C48F46A}">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3</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4AB32-002F-4B03-89BA-374FF4FE43B4}">
  <sheetPr codeName="Feuil9"/>
  <dimension ref="A1:I153"/>
  <sheetViews>
    <sheetView tabSelected="1" topLeftCell="A118" workbookViewId="0">
      <selection activeCell="D136" sqref="D13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45532</v>
      </c>
    </row>
    <row r="2" spans="1:4" ht="27.75" thickBot="1" x14ac:dyDescent="0.3">
      <c r="A2" s="46" t="s">
        <v>3</v>
      </c>
      <c r="B2" s="47" t="s">
        <v>14</v>
      </c>
      <c r="C2" s="46" t="s">
        <v>6</v>
      </c>
      <c r="D2" s="46" t="s">
        <v>12</v>
      </c>
    </row>
    <row r="3" spans="1:4" s="53" customFormat="1" x14ac:dyDescent="0.25">
      <c r="A3" s="91" t="s">
        <v>29</v>
      </c>
      <c r="B3" s="4">
        <v>4</v>
      </c>
      <c r="C3" s="92" t="s">
        <v>71</v>
      </c>
      <c r="D3" s="9"/>
    </row>
    <row r="4" spans="1:4" s="53" customFormat="1" ht="27" x14ac:dyDescent="0.25">
      <c r="A4" s="94" t="s">
        <v>72</v>
      </c>
      <c r="B4" s="2">
        <v>2</v>
      </c>
      <c r="C4" s="93" t="s">
        <v>73</v>
      </c>
      <c r="D4" s="10"/>
    </row>
    <row r="5" spans="1:4" s="53" customFormat="1" ht="27" x14ac:dyDescent="0.25">
      <c r="A5" s="94" t="s">
        <v>59</v>
      </c>
      <c r="B5" s="2">
        <v>3</v>
      </c>
      <c r="C5" s="93" t="s">
        <v>74</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9</v>
      </c>
      <c r="C18" s="90" t="s">
        <v>27</v>
      </c>
      <c r="D18" s="49"/>
    </row>
    <row r="19" spans="1:9" ht="15" thickBot="1" x14ac:dyDescent="0.35">
      <c r="A19" s="50"/>
      <c r="B19" s="50"/>
      <c r="C19" s="50"/>
      <c r="D19" s="50"/>
    </row>
    <row r="20" spans="1:9" ht="18.75" thickBot="1" x14ac:dyDescent="0.3">
      <c r="A20" s="43" t="s">
        <v>13</v>
      </c>
      <c r="B20" s="44">
        <v>2</v>
      </c>
      <c r="C20" s="45" t="s">
        <v>22</v>
      </c>
      <c r="D20" s="54">
        <f>$D$1+7</f>
        <v>45539</v>
      </c>
    </row>
    <row r="21" spans="1:9" ht="27.75" thickBot="1" x14ac:dyDescent="0.3">
      <c r="A21" s="46" t="s">
        <v>3</v>
      </c>
      <c r="B21" s="47" t="s">
        <v>14</v>
      </c>
      <c r="C21" s="46" t="s">
        <v>6</v>
      </c>
      <c r="D21" s="46" t="s">
        <v>12</v>
      </c>
    </row>
    <row r="22" spans="1:9" ht="27" x14ac:dyDescent="0.25">
      <c r="A22" s="91" t="s">
        <v>72</v>
      </c>
      <c r="B22" s="4">
        <v>5</v>
      </c>
      <c r="C22" s="92" t="s">
        <v>75</v>
      </c>
      <c r="D22" s="9"/>
    </row>
    <row r="23" spans="1:9" x14ac:dyDescent="0.25">
      <c r="A23" s="94" t="s">
        <v>37</v>
      </c>
      <c r="B23" s="2">
        <v>3</v>
      </c>
      <c r="C23" s="93" t="s">
        <v>76</v>
      </c>
      <c r="D23" s="10"/>
    </row>
    <row r="24" spans="1:9" x14ac:dyDescent="0.25">
      <c r="A24" s="94" t="s">
        <v>31</v>
      </c>
      <c r="B24" s="2">
        <v>1</v>
      </c>
      <c r="C24" s="93" t="s">
        <v>77</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f>$D$20+7</f>
        <v>45546</v>
      </c>
      <c r="E39" s="20"/>
      <c r="F39" s="20"/>
      <c r="G39" s="20"/>
      <c r="H39" s="20"/>
      <c r="I39" s="20"/>
    </row>
    <row r="40" spans="1:9" ht="27.75" thickBot="1" x14ac:dyDescent="0.3">
      <c r="A40" s="46" t="s">
        <v>3</v>
      </c>
      <c r="B40" s="47" t="s">
        <v>14</v>
      </c>
      <c r="C40" s="46" t="s">
        <v>6</v>
      </c>
      <c r="D40" s="46" t="s">
        <v>12</v>
      </c>
    </row>
    <row r="41" spans="1:9" ht="27" x14ac:dyDescent="0.25">
      <c r="A41" s="91" t="s">
        <v>78</v>
      </c>
      <c r="B41" s="4">
        <v>3</v>
      </c>
      <c r="C41" s="92" t="s">
        <v>79</v>
      </c>
      <c r="D41" s="9"/>
    </row>
    <row r="42" spans="1:9" ht="40.5" x14ac:dyDescent="0.25">
      <c r="A42" s="94" t="s">
        <v>37</v>
      </c>
      <c r="B42" s="2">
        <v>5</v>
      </c>
      <c r="C42" s="93" t="s">
        <v>80</v>
      </c>
      <c r="D42" s="10"/>
    </row>
    <row r="43" spans="1:9" x14ac:dyDescent="0.25">
      <c r="A43" s="94" t="s">
        <v>31</v>
      </c>
      <c r="B43" s="2">
        <v>1</v>
      </c>
      <c r="C43" s="93"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9</v>
      </c>
      <c r="C56" s="90" t="s">
        <v>27</v>
      </c>
      <c r="D56" s="49"/>
    </row>
    <row r="57" spans="1:4" ht="15" thickBot="1" x14ac:dyDescent="0.35">
      <c r="A57" s="50"/>
      <c r="B57" s="50"/>
      <c r="C57" s="50"/>
      <c r="D57" s="50"/>
    </row>
    <row r="58" spans="1:4" ht="18.75" thickBot="1" x14ac:dyDescent="0.3">
      <c r="A58" s="43" t="s">
        <v>13</v>
      </c>
      <c r="B58" s="44">
        <v>4</v>
      </c>
      <c r="C58" s="45" t="s">
        <v>22</v>
      </c>
      <c r="D58" s="54">
        <f>$D$39+7</f>
        <v>45553</v>
      </c>
    </row>
    <row r="59" spans="1:4" ht="27.75" thickBot="1" x14ac:dyDescent="0.3">
      <c r="A59" s="46" t="s">
        <v>3</v>
      </c>
      <c r="B59" s="47" t="s">
        <v>14</v>
      </c>
      <c r="C59" s="46" t="s">
        <v>6</v>
      </c>
      <c r="D59" s="46" t="s">
        <v>12</v>
      </c>
    </row>
    <row r="60" spans="1:4" x14ac:dyDescent="0.25">
      <c r="A60" s="5" t="s">
        <v>20</v>
      </c>
      <c r="B60" s="4">
        <v>9</v>
      </c>
      <c r="C60" s="92" t="s">
        <v>82</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9</v>
      </c>
      <c r="C75" s="90" t="s">
        <v>27</v>
      </c>
      <c r="D75" s="49"/>
    </row>
    <row r="76" spans="1:4" ht="15" thickBot="1" x14ac:dyDescent="0.35">
      <c r="A76" s="50"/>
      <c r="B76" s="50"/>
      <c r="C76" s="50"/>
      <c r="D76" s="50"/>
    </row>
    <row r="77" spans="1:4" ht="18.75" thickBot="1" x14ac:dyDescent="0.3">
      <c r="A77" s="43" t="s">
        <v>13</v>
      </c>
      <c r="B77" s="44">
        <v>5</v>
      </c>
      <c r="C77" s="45" t="s">
        <v>22</v>
      </c>
      <c r="D77" s="54">
        <f>$D$58+7</f>
        <v>45560</v>
      </c>
    </row>
    <row r="78" spans="1:4" ht="27.75" thickBot="1" x14ac:dyDescent="0.3">
      <c r="A78" s="46" t="s">
        <v>3</v>
      </c>
      <c r="B78" s="47" t="s">
        <v>14</v>
      </c>
      <c r="C78" s="46" t="s">
        <v>6</v>
      </c>
      <c r="D78" s="46" t="s">
        <v>12</v>
      </c>
    </row>
    <row r="79" spans="1:4" ht="54" x14ac:dyDescent="0.25">
      <c r="A79" s="5" t="s">
        <v>38</v>
      </c>
      <c r="B79" s="4">
        <v>2</v>
      </c>
      <c r="C79" s="92" t="s">
        <v>83</v>
      </c>
      <c r="D79" s="9"/>
    </row>
    <row r="80" spans="1:4" x14ac:dyDescent="0.25">
      <c r="A80" s="1" t="s">
        <v>59</v>
      </c>
      <c r="B80" s="2">
        <v>6</v>
      </c>
      <c r="C80" s="93" t="s">
        <v>84</v>
      </c>
      <c r="D80" s="10"/>
    </row>
    <row r="81" spans="1:4" x14ac:dyDescent="0.25">
      <c r="A81" s="1" t="s">
        <v>31</v>
      </c>
      <c r="B81" s="2">
        <v>1</v>
      </c>
      <c r="C81" s="93" t="s">
        <v>85</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9</v>
      </c>
      <c r="C94" s="90" t="s">
        <v>27</v>
      </c>
      <c r="D94" s="49"/>
    </row>
    <row r="95" spans="1:4" ht="15" thickBot="1" x14ac:dyDescent="0.35">
      <c r="A95" s="50"/>
      <c r="B95" s="50"/>
      <c r="C95" s="50"/>
      <c r="D95" s="50"/>
    </row>
    <row r="96" spans="1:4" ht="18.75" thickBot="1" x14ac:dyDescent="0.3">
      <c r="A96" s="43" t="s">
        <v>13</v>
      </c>
      <c r="B96" s="44">
        <v>6</v>
      </c>
      <c r="C96" s="45" t="s">
        <v>22</v>
      </c>
      <c r="D96" s="54">
        <f>$D$77+7</f>
        <v>45567</v>
      </c>
    </row>
    <row r="97" spans="1:4" ht="27.75" thickBot="1" x14ac:dyDescent="0.3">
      <c r="A97" s="46" t="s">
        <v>3</v>
      </c>
      <c r="B97" s="47" t="s">
        <v>14</v>
      </c>
      <c r="C97" s="46" t="s">
        <v>6</v>
      </c>
      <c r="D97" s="46" t="s">
        <v>12</v>
      </c>
    </row>
    <row r="98" spans="1:4" ht="40.5" x14ac:dyDescent="0.25">
      <c r="A98" s="91" t="s">
        <v>39</v>
      </c>
      <c r="B98" s="4">
        <v>8</v>
      </c>
      <c r="C98" s="92" t="s">
        <v>87</v>
      </c>
      <c r="D98" s="9"/>
    </row>
    <row r="99" spans="1:4" x14ac:dyDescent="0.25">
      <c r="A99" s="94" t="s">
        <v>86</v>
      </c>
      <c r="B99" s="2">
        <v>1</v>
      </c>
      <c r="C99" s="93" t="s">
        <v>88</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9</v>
      </c>
      <c r="C113" s="90" t="s">
        <v>27</v>
      </c>
      <c r="D113" s="49"/>
    </row>
    <row r="114" spans="1:4" ht="15" thickBot="1" x14ac:dyDescent="0.35">
      <c r="A114" s="50"/>
      <c r="B114" s="50"/>
      <c r="C114" s="50"/>
      <c r="D114" s="50"/>
    </row>
    <row r="115" spans="1:4" ht="18.75" thickBot="1" x14ac:dyDescent="0.3">
      <c r="A115" s="43" t="s">
        <v>13</v>
      </c>
      <c r="B115" s="44">
        <v>7</v>
      </c>
      <c r="C115" s="45" t="s">
        <v>22</v>
      </c>
      <c r="D115" s="54">
        <f>$D$96+7</f>
        <v>45574</v>
      </c>
    </row>
    <row r="116" spans="1:4" ht="27.75" thickBot="1" x14ac:dyDescent="0.3">
      <c r="A116" s="46" t="s">
        <v>3</v>
      </c>
      <c r="B116" s="47" t="s">
        <v>14</v>
      </c>
      <c r="C116" s="46" t="s">
        <v>6</v>
      </c>
      <c r="D116" s="46" t="s">
        <v>12</v>
      </c>
    </row>
    <row r="117" spans="1:4" x14ac:dyDescent="0.25">
      <c r="A117" s="91" t="s">
        <v>89</v>
      </c>
      <c r="B117" s="4">
        <v>9</v>
      </c>
      <c r="C117" s="92" t="s">
        <v>90</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9</v>
      </c>
      <c r="C132" s="90" t="s">
        <v>27</v>
      </c>
      <c r="D132" s="49"/>
    </row>
    <row r="133" spans="1:4" ht="15" thickBot="1" x14ac:dyDescent="0.35">
      <c r="A133" s="50"/>
      <c r="B133" s="50"/>
      <c r="C133" s="50"/>
      <c r="D133" s="50"/>
    </row>
    <row r="134" spans="1:4" ht="18.75" thickBot="1" x14ac:dyDescent="0.3">
      <c r="A134" s="43" t="s">
        <v>13</v>
      </c>
      <c r="B134" s="44">
        <v>8</v>
      </c>
      <c r="C134" s="45" t="s">
        <v>22</v>
      </c>
      <c r="D134" s="54">
        <f>$D$115+7</f>
        <v>45581</v>
      </c>
    </row>
    <row r="135" spans="1:4" ht="27.75" thickBot="1" x14ac:dyDescent="0.3">
      <c r="A135" s="46" t="s">
        <v>3</v>
      </c>
      <c r="B135" s="47" t="s">
        <v>14</v>
      </c>
      <c r="C135" s="46" t="s">
        <v>6</v>
      </c>
      <c r="D135" s="46" t="s">
        <v>12</v>
      </c>
    </row>
    <row r="136" spans="1:4" ht="27" x14ac:dyDescent="0.25">
      <c r="A136" s="91" t="s">
        <v>91</v>
      </c>
      <c r="B136" s="4">
        <v>2</v>
      </c>
      <c r="C136" s="92" t="s">
        <v>92</v>
      </c>
      <c r="D136" s="9"/>
    </row>
    <row r="137" spans="1:4" x14ac:dyDescent="0.25">
      <c r="A137" s="29" t="s">
        <v>94</v>
      </c>
      <c r="B137" s="29">
        <v>1</v>
      </c>
      <c r="C137" s="29" t="s">
        <v>95</v>
      </c>
      <c r="D137" s="10"/>
    </row>
    <row r="138" spans="1:4" ht="27" x14ac:dyDescent="0.25">
      <c r="A138" s="1" t="s">
        <v>40</v>
      </c>
      <c r="B138" s="2">
        <v>4</v>
      </c>
      <c r="C138" s="93" t="s">
        <v>93</v>
      </c>
      <c r="D138" s="10"/>
    </row>
    <row r="139" spans="1:4" x14ac:dyDescent="0.25">
      <c r="A139" s="94" t="s">
        <v>59</v>
      </c>
      <c r="B139" s="2">
        <v>2</v>
      </c>
      <c r="C139" s="93" t="s">
        <v>96</v>
      </c>
      <c r="D139" s="10"/>
    </row>
    <row r="140" spans="1:4" x14ac:dyDescent="0.25">
      <c r="A140" s="1"/>
      <c r="B140" s="2"/>
      <c r="C140" s="93" t="s">
        <v>97</v>
      </c>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9</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8D5D6DF-59EA-4140-BCB8-20ACA107F6DF}">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 B138:B150" xr:uid="{41066A8D-6E0C-4C02-AEF8-EEACDDCAE80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F9568E57-22C9-44F7-93E4-F80BC0743D60}">
      <formula1>0</formula1>
      <formula2>NbPerWeek * NbQuartPer</formula2>
    </dataValidation>
    <dataValidation type="list" allowBlank="1" showInputMessage="1" showErrorMessage="1" sqref="A3:A17 A22:A36 A41:A55 A60:A74 A79:A93 A98:A112 A117:A131 A136 A138:A150" xr:uid="{878D4CA5-6EE3-4CE8-8BE9-0AF7196CBA94}">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2024-10-30T10:23:57Z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