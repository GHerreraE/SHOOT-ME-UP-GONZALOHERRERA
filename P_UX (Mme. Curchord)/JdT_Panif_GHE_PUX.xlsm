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372AB895-14C1-FC20-EB20-F1B4BCFD95AE}"/>
  <workbookPr updateLinks="never" codeName="ThisWorkbook"/>
  <mc:AlternateContent xmlns:mc="http://schemas.openxmlformats.org/markup-compatibility/2006">
    <mc:Choice Requires="x15">
      <x15ac:absPath xmlns:x15ac="http://schemas.microsoft.com/office/spreadsheetml/2010/11/ac" url="C:\Users\gonza\OneDrive\Documents\GitHub\SHOOT-ME-UP-GONZALOHERRERA\P_UX (Mme. Curchord)\"/>
    </mc:Choice>
  </mc:AlternateContent>
  <xr:revisionPtr revIDLastSave="0" documentId="13_ncr:1_{D462A329-E387-4782-A879-12EB30B2136A}" xr6:coauthVersionLast="47" xr6:coauthVersionMax="47" xr10:uidLastSave="{00000000-0000-0000-0000-000000000000}"/>
  <bookViews>
    <workbookView xWindow="-108" yWindow="-108" windowWidth="23256" windowHeight="12456"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Planning" sheetId="155" r:id="rId5"/>
    <sheet name="achievementWeek" sheetId="154" state="hidden" r:id="rId6"/>
    <sheet name="JNLTRAV" sheetId="156"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4">Planning!$A$1:$D$14</definedName>
    <definedName name="objPlanifWeek">PlanificationWeek!$A$1:$D$14</definedName>
    <definedName name="objRealizedWeek" localSheetId="5">achievementWeek!$A$1:$D$19</definedName>
    <definedName name="objRealizedWeek" localSheetId="6">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34" i="156" l="1"/>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<sst xmlns="http://schemas.openxmlformats.org/spreadsheetml/2006/main" count="246" uniqueCount="100">
  <si>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</si>
  <si>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</si>
  <si>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</si>
  <si>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</si>
  <si>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</si>
  <si>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</si>
  <si>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</si>
  <si>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</si>
  <si>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</si>
  <si>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</si>
  <si>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</si>
  <si>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</si>
  <si>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</si>
  <si>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</si>
  <si>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</si>
  <si>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</si>
  <si>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</si>
  <si>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</si>
  <si>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</si>
  <si>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</si>
  <si>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</si>
  <si>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</si>
  <si>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</si>
  <si>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</si>
  <si>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Gonzalo Javier Herrera Egoavil</t>
  </si>
  <si>
    <t>CID2B</t>
  </si>
  <si>
    <t>Vennes - Lausanne</t>
  </si>
  <si>
    <t>Max. 9</t>
  </si>
  <si>
    <t>STOP</t>
  </si>
  <si>
    <t xml:space="preserve">Introduction </t>
  </si>
  <si>
    <t>Journal de travail</t>
  </si>
  <si>
    <t>Cahier de charges</t>
  </si>
  <si>
    <t>Figma</t>
  </si>
  <si>
    <t>Introduction du module, bien comprendre de ce qu'il s'agit ce projet.</t>
  </si>
  <si>
    <t>Manipuler Figma, introduction</t>
  </si>
  <si>
    <t>Lire le cahier de charges</t>
  </si>
  <si>
    <t>Introduction</t>
  </si>
  <si>
    <t>Site web</t>
  </si>
  <si>
    <t>Théorie</t>
  </si>
  <si>
    <t>Partie de la introduction, acceder à un site web qui était mal fait. Une évaluation retrospective a été faite puisque on parlait de l'importance de l'experience de l'utilisateur.</t>
  </si>
  <si>
    <t>Un peu de théorie pour continuer l'importance de prevoir une bonne experience de l'utilisateur avec un produit et/ou service.</t>
  </si>
  <si>
    <t>Figma a été et sera notre outil de travail pour ce module et projet. On a fait des maquettes d'un login d'un site web. Une evaluation en groupe était mise en place.</t>
  </si>
  <si>
    <t xml:space="preserve">Planning </t>
  </si>
  <si>
    <t>Maquette du jeu</t>
  </si>
  <si>
    <t>Maquette users</t>
  </si>
  <si>
    <t>Rapport</t>
  </si>
  <si>
    <t>Faire le planning de la semaine 1 et aussi le planning des semaines restantes.</t>
  </si>
  <si>
    <t>Faire le journal de travail de la semaine 1 et 2.</t>
  </si>
  <si>
    <t>Maquette User</t>
  </si>
  <si>
    <t>Travailler sur Figma et faire des Users Personalitys avec l'aide de chatgpt.</t>
  </si>
  <si>
    <t>Finir avec les maquettes users.</t>
  </si>
  <si>
    <t>Faire une maquete du menu principal</t>
  </si>
  <si>
    <t>Maquete niveau</t>
  </si>
  <si>
    <t>Faire une deuxieme maquete avec les niveaux de diffultes du jeu</t>
  </si>
  <si>
    <t>Faire une trosième maquette pour l'editeur de niveau et high scores</t>
  </si>
  <si>
    <t>Maquete editeur de niveau et high scores</t>
  </si>
  <si>
    <t>Completer le rapport avec les données obtenus pour l'instant.</t>
  </si>
  <si>
    <t>Completer le journal de travail de la semaine 3 et aussi de cette semaine 4</t>
  </si>
  <si>
    <t>Maquettes v2</t>
  </si>
  <si>
    <t>Faire des versions haute-fidelité pour avoir une reference de notre travail final.</t>
  </si>
  <si>
    <t>Palette graphique</t>
  </si>
  <si>
    <t>Faire le choix des couleurs pour le jeu</t>
  </si>
  <si>
    <t>Completer le journal de travail avec le travail fait durant la journée.</t>
  </si>
  <si>
    <t>Completer le rapport et à voir si on a le temps de ajouter des nouvelles chapitres.</t>
  </si>
  <si>
    <t>Dernières améliorations, petittes retouches pour la bonne definition de notre travail finale.</t>
  </si>
  <si>
    <t>Ajouter des chapitres de conception, d'évaluation et analyse de L'UX</t>
  </si>
  <si>
    <t>Ajouter dans le journal le travail fait durant la journée.</t>
  </si>
  <si>
    <t>Faire des améliorations si on a recu notre évaluation de 50%. Faire des corrections de fautes et aussi faire atention avec le mise en page. (Dernière retouche)</t>
  </si>
  <si>
    <t>Amélioration de vocabulaire et retouches finales. Ajouter des liens de references si c'est posible.</t>
  </si>
  <si>
    <t>Verification</t>
  </si>
  <si>
    <t>Github</t>
  </si>
  <si>
    <t>Rendu</t>
  </si>
  <si>
    <t>Vérification de mon dossier, vérifier si tout est bien sauvegarder et les transformer en PDF pour le rendu finale. Prendre en compte la quantité de fichiers à rendre.</t>
  </si>
  <si>
    <t>Vérification des releases, comit y push. Verifier si toutes les semaines on été bien comits.</t>
  </si>
  <si>
    <t>Rendu finale par teams ou message de github.</t>
  </si>
  <si>
    <t>On a recu un peu de théorie et explications par rapport au projet.</t>
  </si>
  <si>
    <t>J'ai fait le planning de toutes les semaines.</t>
  </si>
  <si>
    <t>J'ai completé le journal de travail de cette semaine et aussi de la première semaine.</t>
  </si>
  <si>
    <t>WireFrame / Figma</t>
  </si>
  <si>
    <t xml:space="preserve">J'ai avancé avec le wireframe finale, j'ai fait le menu principale, l'écran du jeu, le score, et la page à propos. </t>
  </si>
  <si>
    <t>J'ai avancé mon journal de travail</t>
  </si>
  <si>
    <t>Personas</t>
  </si>
  <si>
    <t>J'ai pris un modèle de base sur Figma et j'ai fait deux personas à l'aide des données de ChatGPT</t>
  </si>
  <si>
    <t>CHATGPT</t>
  </si>
  <si>
    <t>Palette de couleur</t>
  </si>
  <si>
    <t>J'ai pris le site de "Adobe Color" à fin de pouvoir choisir une palette de couleurs pour mon projet.</t>
  </si>
  <si>
    <t>J'ai du de recommencer mes maquettes puisque je suis rendu compte que faire le projet avec WindosForm serait compliqué, alors je dois refaire tout en version console. J'ai pas fini la maquete de bas-quallité</t>
  </si>
  <si>
    <t>Maquette BF</t>
  </si>
  <si>
    <t xml:space="preserve">J'ai fait mes frame du chaque écran du jeux en bas fidelité. </t>
  </si>
  <si>
    <t>Maquette HF</t>
  </si>
  <si>
    <t>J'ai commencé à faire la maquette de haute fidelité, pour l'instant je commence avec l'éditeur de niveau puisque c'est demandé en prémier, après je voudrais faire le reste d'écrans.</t>
  </si>
  <si>
    <t>Adobe Color</t>
  </si>
  <si>
    <t>Adobe color</t>
  </si>
  <si>
    <t>Palette</t>
  </si>
  <si>
    <t>J'ai fait un changement sur ma palette de couleur</t>
  </si>
  <si>
    <t>J'ai modifie les couleurs</t>
  </si>
  <si>
    <t>Modification et mise en place des nouvelles photos des wireframes. J'ai commencé à developper la partie Eco-Conception.</t>
  </si>
  <si>
    <t>J'ai choisi un autre type de palette de couleur car je me suis rendu compte que la palette que j'avais choisi la semaine passée n'était pas une une qui fait contraste avec mon jeu, alors j'ai essayé de changer plusieurs fois aussi pour choisir un type de palette de couleur</t>
  </si>
  <si>
    <t>J'ai changé le rapport plusieurs fois puisque la palette de couelur n'était pas la bonne et j'a icommencé à developper la partie de choix effectués et les fonctionnalitées supplémentaires.</t>
  </si>
  <si>
    <t>On a fait de la théorie comme introduction du sujet. Le projet n'a pas été démarré cette semaine.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</si>
</sst>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7">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9" fillId="4" borderId="13" xfId="0" applyFont="1" applyFill="1" applyBorder="1" applyAlignment="1">
      <alignment horizontal="left" vertical="top" wrapText="1"/>
    </xf>
    <xf numFmtId="0" fontId="16" fillId="9" borderId="0" xfId="0" applyFont="1" applyFill="1"/>
    <xf numFmtId="0" fontId="9" fillId="12" borderId="13" xfId="0" applyFont="1" applyFill="1" applyBorder="1" applyAlignment="1">
      <alignment horizontal="left" vertical="top" wrapText="1"/>
    </xf>
    <xf numFmtId="0" fontId="0" fillId="0" borderId="1" xfId="1" applyFont="1" applyFill="1" applyBorder="1" applyAlignment="1" applyProtection="1">
      <alignment horizontal="center" vertical="center" wrapText="1"/>
      <protection locked="0"/>
    </xf>
    <xf numFmtId="0" fontId="0" fillId="0" borderId="2" xfId="1" applyFont="1" applyFill="1" applyBorder="1" applyAlignment="1" applyProtection="1">
      <alignment horizontal="center" vertical="center" wrapText="1"/>
      <protection locked="0"/>
    </xf>
    <xf numFmtId="0" fontId="0" fillId="0" borderId="1" xfId="0" applyBorder="1" applyAlignment="1" applyProtection="1">
      <alignment horizontal="left" vertical="top" wrapText="1"/>
      <protection locked="0"/>
    </xf>
    <xf numFmtId="0" fontId="0" fillId="0" borderId="2" xfId="0" applyBorder="1" applyAlignment="1" applyProtection="1">
      <alignment horizontal="left" vertical="top"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2" fillId="7" borderId="20" xfId="0" applyFont="1" applyFill="1" applyBorder="1" applyAlignment="1">
      <alignment horizontal="left" vertical="center" indent="1"/>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7620</xdr:colOff>
          <xdr:row>1</xdr:row>
          <xdr:rowOff>160020</xdr:rowOff>
        </xdr:from>
        <xdr:to>
          <xdr:col>6</xdr:col>
          <xdr:colOff>76200</xdr:colOff>
          <xdr:row>3</xdr:row>
          <xdr:rowOff>198120</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5</xdr:row>
          <xdr:rowOff>7620</xdr:rowOff>
        </xdr:from>
        <xdr:to>
          <xdr:col>6</xdr:col>
          <xdr:colOff>99060</xdr:colOff>
          <xdr:row>7</xdr:row>
          <xdr:rowOff>45720</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7620</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39937" name="btnImportPlanification" hidden="1">
              <a:extLst>
                <a:ext uri="{63B3BB69-23CF-44E3-9099-C40C66FF867C}">
                  <a14:compatExt spid="_x0000_s39937"/>
                </a:ext>
                <a:ext uri="{FF2B5EF4-FFF2-40B4-BE49-F238E27FC236}">
                  <a16:creationId xmlns:a16="http://schemas.microsoft.com/office/drawing/2014/main" id="{00000000-0008-0000-04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0</xdr:row>
          <xdr:rowOff>182880</xdr:rowOff>
        </xdr:from>
        <xdr:to>
          <xdr:col>7</xdr:col>
          <xdr:colOff>259080</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view="pageBreakPreview" topLeftCell="A9" zoomScale="85" zoomScaleNormal="100" zoomScaleSheetLayoutView="85" workbookViewId="0">
      <selection activeCell="C21" sqref="C21"/>
    </sheetView>
  </sheetViews>
  <sheetFormatPr baseColWidth="10" defaultColWidth="11.5546875" defaultRowHeight="13.2" x14ac:dyDescent="0.25"/>
  <cols>
    <col min="1" max="1" width="16.5546875" style="57" customWidth="1"/>
    <col min="2" max="2" width="55.109375" style="57" customWidth="1"/>
    <col min="3" max="3" width="88.5546875" style="57" customWidth="1"/>
    <col min="4" max="4" width="3.44140625" style="57" customWidth="1"/>
    <col min="5" max="6" width="11.5546875" style="57"/>
    <col min="7" max="7" width="3.33203125" style="57" customWidth="1"/>
    <col min="8" max="16384" width="11.5546875" style="57"/>
  </cols>
  <sheetData>
    <row r="1" spans="1:7" x14ac:dyDescent="0.25">
      <c r="A1" s="54"/>
      <c r="B1" s="55"/>
      <c r="C1" s="55"/>
      <c r="D1" s="55"/>
      <c r="E1" s="55"/>
      <c r="F1" s="55"/>
      <c r="G1" s="56"/>
    </row>
    <row r="2" spans="1:7" ht="13.8" thickBot="1" x14ac:dyDescent="0.3">
      <c r="A2" s="58"/>
      <c r="B2" s="59"/>
      <c r="C2" s="59"/>
      <c r="D2" s="59"/>
      <c r="E2" s="59"/>
      <c r="F2" s="59"/>
      <c r="G2" s="60"/>
    </row>
    <row r="3" spans="1:7" ht="21" x14ac:dyDescent="0.25">
      <c r="A3" s="58"/>
      <c r="B3" s="61" t="s">
        <v>0</v>
      </c>
      <c r="C3" s="62">
        <v>322</v>
      </c>
      <c r="D3" s="59"/>
      <c r="E3" s="59"/>
      <c r="F3" s="59"/>
      <c r="G3" s="60"/>
    </row>
    <row r="4" spans="1:7" ht="21" x14ac:dyDescent="0.25">
      <c r="A4" s="58"/>
      <c r="B4" s="63" t="s">
        <v>4</v>
      </c>
      <c r="C4" s="64" t="s">
        <v>24</v>
      </c>
      <c r="D4" s="59"/>
      <c r="E4" s="59"/>
      <c r="F4" s="59"/>
      <c r="G4" s="60"/>
    </row>
    <row r="5" spans="1:7" ht="21" x14ac:dyDescent="0.25">
      <c r="A5" s="58"/>
      <c r="B5" s="63" t="s">
        <v>1</v>
      </c>
      <c r="C5" s="64" t="s">
        <v>25</v>
      </c>
      <c r="D5" s="59"/>
      <c r="E5" s="59"/>
      <c r="F5" s="59"/>
      <c r="G5" s="60"/>
    </row>
    <row r="6" spans="1:7" ht="21.6" thickBot="1" x14ac:dyDescent="0.3">
      <c r="A6" s="58"/>
      <c r="B6" s="65" t="s">
        <v>2</v>
      </c>
      <c r="C6" s="66" t="s">
        <v>26</v>
      </c>
      <c r="D6" s="59"/>
      <c r="E6" s="59"/>
      <c r="F6" s="59"/>
      <c r="G6" s="60"/>
    </row>
    <row r="7" spans="1:7" x14ac:dyDescent="0.25">
      <c r="A7" s="58"/>
      <c r="B7" s="59"/>
      <c r="C7" s="59"/>
      <c r="D7" s="59"/>
      <c r="E7" s="59"/>
      <c r="F7" s="59"/>
      <c r="G7" s="60"/>
    </row>
    <row r="8" spans="1:7" ht="13.8" thickBot="1" x14ac:dyDescent="0.3">
      <c r="A8" s="58"/>
      <c r="B8" s="59"/>
      <c r="C8" s="59"/>
      <c r="D8" s="59"/>
      <c r="E8" s="59"/>
      <c r="F8" s="59"/>
      <c r="G8" s="60"/>
    </row>
    <row r="9" spans="1:7" ht="21" x14ac:dyDescent="0.25">
      <c r="A9" s="58"/>
      <c r="B9" s="61" t="s">
        <v>9</v>
      </c>
      <c r="C9" s="67">
        <v>45532</v>
      </c>
      <c r="D9" s="59"/>
      <c r="E9" s="59"/>
      <c r="F9" s="59"/>
      <c r="G9" s="60"/>
    </row>
    <row r="10" spans="1:7" ht="21" x14ac:dyDescent="0.25">
      <c r="A10" s="58"/>
      <c r="B10" s="68" t="s">
        <v>8</v>
      </c>
      <c r="C10" s="69">
        <v>45597</v>
      </c>
      <c r="D10" s="59"/>
      <c r="E10" s="59"/>
      <c r="F10" s="59"/>
      <c r="G10" s="60"/>
    </row>
    <row r="11" spans="1:7" ht="21" x14ac:dyDescent="0.25">
      <c r="A11" s="58"/>
      <c r="B11" s="68" t="s">
        <v>10</v>
      </c>
      <c r="C11" s="70">
        <v>8</v>
      </c>
      <c r="D11" s="59"/>
      <c r="E11" s="59"/>
      <c r="F11" s="59"/>
      <c r="G11" s="60"/>
    </row>
    <row r="12" spans="1:7" ht="21" x14ac:dyDescent="0.25">
      <c r="A12" s="58"/>
      <c r="B12" s="63" t="s">
        <v>11</v>
      </c>
      <c r="C12" s="71">
        <v>3</v>
      </c>
      <c r="D12" s="59"/>
      <c r="E12" s="59"/>
      <c r="F12" s="59"/>
      <c r="G12" s="60"/>
    </row>
    <row r="13" spans="1:7" ht="21" x14ac:dyDescent="0.25">
      <c r="A13" s="58"/>
      <c r="B13" s="63" t="s">
        <v>12</v>
      </c>
      <c r="C13" s="71">
        <v>3</v>
      </c>
      <c r="D13" s="59"/>
      <c r="E13" s="59"/>
      <c r="F13" s="59"/>
      <c r="G13" s="60"/>
    </row>
    <row r="14" spans="1:7" ht="21.6" thickBot="1" x14ac:dyDescent="0.3">
      <c r="A14" s="58"/>
      <c r="B14" s="72"/>
      <c r="C14" s="73" t="s">
        <v>6</v>
      </c>
      <c r="D14" s="59"/>
      <c r="E14" s="59"/>
      <c r="F14" s="59"/>
      <c r="G14" s="60"/>
    </row>
    <row r="15" spans="1:7" x14ac:dyDescent="0.25">
      <c r="A15" s="58"/>
      <c r="B15" s="59"/>
      <c r="C15" s="59"/>
      <c r="D15" s="59"/>
      <c r="E15" s="59"/>
      <c r="F15" s="59"/>
      <c r="G15" s="60"/>
    </row>
    <row r="16" spans="1:7" ht="13.8" thickBot="1" x14ac:dyDescent="0.3">
      <c r="A16" s="74"/>
      <c r="B16" s="75"/>
      <c r="C16" s="75"/>
      <c r="D16" s="75"/>
      <c r="E16" s="75"/>
      <c r="F16" s="75"/>
      <c r="G16" s="76"/>
    </row>
    <row r="17" spans="1:7" x14ac:dyDescent="0.25">
      <c r="A17" s="77"/>
      <c r="B17" s="55"/>
      <c r="C17" s="55"/>
      <c r="D17" s="55"/>
      <c r="E17" s="55"/>
      <c r="F17" s="55"/>
      <c r="G17" s="56"/>
    </row>
    <row r="18" spans="1:7" ht="13.8" thickBot="1" x14ac:dyDescent="0.3">
      <c r="A18" s="78"/>
      <c r="B18" s="59"/>
      <c r="C18" s="59"/>
      <c r="D18" s="59"/>
      <c r="E18" s="59"/>
      <c r="F18" s="59"/>
      <c r="G18" s="60"/>
    </row>
    <row r="19" spans="1:7" ht="21" thickBot="1" x14ac:dyDescent="0.3">
      <c r="A19" s="78"/>
      <c r="B19" s="93" t="s">
        <v>19</v>
      </c>
      <c r="C19" s="94"/>
      <c r="D19" s="59"/>
      <c r="E19" s="59"/>
      <c r="F19" s="59"/>
      <c r="G19" s="60"/>
    </row>
    <row r="20" spans="1:7" ht="21" x14ac:dyDescent="0.25">
      <c r="A20" s="78"/>
      <c r="B20" s="79" t="s">
        <v>20</v>
      </c>
      <c r="C20" s="80" t="s">
        <v>21</v>
      </c>
      <c r="D20" s="59"/>
      <c r="E20" s="59"/>
      <c r="F20" s="59"/>
      <c r="G20" s="60"/>
    </row>
    <row r="21" spans="1:7" ht="21" x14ac:dyDescent="0.25">
      <c r="A21" s="78"/>
      <c r="B21" s="79">
        <v>1</v>
      </c>
      <c r="C21" s="69" t="s">
        <v>36</v>
      </c>
      <c r="D21" s="59"/>
      <c r="E21" s="59"/>
      <c r="F21" s="59"/>
      <c r="G21" s="60"/>
    </row>
    <row r="22" spans="1:7" ht="21" x14ac:dyDescent="0.25">
      <c r="A22" s="78"/>
      <c r="B22" s="79">
        <v>2</v>
      </c>
      <c r="C22" s="70"/>
      <c r="D22" s="59"/>
      <c r="E22" s="59"/>
      <c r="F22" s="59"/>
      <c r="G22" s="60"/>
    </row>
    <row r="23" spans="1:7" ht="21" x14ac:dyDescent="0.25">
      <c r="A23" s="78"/>
      <c r="B23" s="81">
        <v>3</v>
      </c>
      <c r="C23" s="70"/>
      <c r="D23" s="59"/>
      <c r="E23" s="59"/>
      <c r="F23" s="59"/>
      <c r="G23" s="60"/>
    </row>
    <row r="24" spans="1:7" ht="21" x14ac:dyDescent="0.25">
      <c r="A24" s="78"/>
      <c r="B24" s="79">
        <v>4</v>
      </c>
      <c r="C24" s="70"/>
      <c r="D24" s="59"/>
      <c r="E24" s="59"/>
      <c r="F24" s="59"/>
      <c r="G24" s="60"/>
    </row>
    <row r="25" spans="1:7" ht="21" x14ac:dyDescent="0.25">
      <c r="A25" s="78"/>
      <c r="B25" s="79">
        <v>5</v>
      </c>
      <c r="C25" s="70"/>
      <c r="D25" s="59"/>
      <c r="E25" s="59"/>
      <c r="F25" s="59"/>
      <c r="G25" s="60"/>
    </row>
    <row r="26" spans="1:7" ht="21" x14ac:dyDescent="0.25">
      <c r="A26" s="78"/>
      <c r="B26" s="81">
        <v>6</v>
      </c>
      <c r="C26" s="70"/>
      <c r="D26" s="59"/>
      <c r="E26" s="59"/>
      <c r="F26" s="59"/>
      <c r="G26" s="60"/>
    </row>
    <row r="27" spans="1:7" ht="21" x14ac:dyDescent="0.25">
      <c r="A27" s="78"/>
      <c r="B27" s="79">
        <v>7</v>
      </c>
      <c r="C27" s="70"/>
      <c r="D27" s="59"/>
      <c r="E27" s="59"/>
      <c r="F27" s="59"/>
      <c r="G27" s="60"/>
    </row>
    <row r="28" spans="1:7" ht="21" x14ac:dyDescent="0.25">
      <c r="A28" s="78"/>
      <c r="B28" s="79">
        <v>8</v>
      </c>
      <c r="C28" s="71"/>
      <c r="D28" s="59"/>
      <c r="E28" s="59"/>
      <c r="F28" s="59"/>
      <c r="G28" s="60"/>
    </row>
    <row r="29" spans="1:7" ht="21" x14ac:dyDescent="0.25">
      <c r="A29" s="78"/>
      <c r="B29" s="81">
        <v>9</v>
      </c>
      <c r="C29" s="71"/>
      <c r="D29" s="59"/>
      <c r="E29" s="59"/>
      <c r="F29" s="59"/>
      <c r="G29" s="60"/>
    </row>
    <row r="30" spans="1:7" ht="21" x14ac:dyDescent="0.25">
      <c r="A30" s="78"/>
      <c r="B30" s="79">
        <v>10</v>
      </c>
      <c r="C30" s="70"/>
      <c r="D30" s="59"/>
      <c r="E30" s="59"/>
      <c r="F30" s="59"/>
      <c r="G30" s="60"/>
    </row>
    <row r="31" spans="1:7" ht="21" x14ac:dyDescent="0.25">
      <c r="A31" s="78"/>
      <c r="B31" s="79">
        <v>11</v>
      </c>
      <c r="C31" s="70"/>
      <c r="D31" s="59"/>
      <c r="E31" s="59"/>
      <c r="F31" s="59"/>
      <c r="G31" s="60"/>
    </row>
    <row r="32" spans="1:7" ht="21" x14ac:dyDescent="0.25">
      <c r="A32" s="78"/>
      <c r="B32" s="81">
        <v>12</v>
      </c>
      <c r="C32" s="70"/>
      <c r="D32" s="59"/>
      <c r="E32" s="59"/>
      <c r="F32" s="59"/>
      <c r="G32" s="60"/>
    </row>
    <row r="33" spans="1:7" ht="21" x14ac:dyDescent="0.25">
      <c r="A33" s="78"/>
      <c r="B33" s="79">
        <v>13</v>
      </c>
      <c r="C33" s="70"/>
      <c r="D33" s="59"/>
      <c r="E33" s="59"/>
      <c r="F33" s="59"/>
      <c r="G33" s="60"/>
    </row>
    <row r="34" spans="1:7" ht="21" x14ac:dyDescent="0.25">
      <c r="A34" s="78"/>
      <c r="B34" s="79">
        <v>14</v>
      </c>
      <c r="C34" s="71"/>
      <c r="D34" s="59"/>
      <c r="E34" s="59"/>
      <c r="F34" s="59"/>
      <c r="G34" s="60"/>
    </row>
    <row r="35" spans="1:7" ht="21" x14ac:dyDescent="0.25">
      <c r="A35" s="78"/>
      <c r="B35" s="81">
        <v>15</v>
      </c>
      <c r="C35" s="71"/>
      <c r="D35" s="59"/>
      <c r="E35" s="59"/>
      <c r="F35" s="59"/>
      <c r="G35" s="60"/>
    </row>
    <row r="36" spans="1:7" ht="21" x14ac:dyDescent="0.25">
      <c r="A36" s="78"/>
      <c r="B36" s="79">
        <v>16</v>
      </c>
      <c r="C36" s="70"/>
      <c r="D36" s="59"/>
      <c r="E36" s="59"/>
      <c r="F36" s="59"/>
      <c r="G36" s="60"/>
    </row>
    <row r="37" spans="1:7" ht="21" x14ac:dyDescent="0.25">
      <c r="A37" s="78"/>
      <c r="B37" s="79">
        <v>17</v>
      </c>
      <c r="C37" s="70"/>
      <c r="D37" s="59"/>
      <c r="E37" s="59"/>
      <c r="F37" s="59"/>
      <c r="G37" s="60"/>
    </row>
    <row r="38" spans="1:7" ht="21" x14ac:dyDescent="0.25">
      <c r="A38" s="78"/>
      <c r="B38" s="81">
        <v>18</v>
      </c>
      <c r="C38" s="70"/>
      <c r="D38" s="59"/>
      <c r="E38" s="59"/>
      <c r="F38" s="59"/>
      <c r="G38" s="60"/>
    </row>
    <row r="39" spans="1:7" ht="21" x14ac:dyDescent="0.25">
      <c r="A39" s="78"/>
      <c r="B39" s="79">
        <v>19</v>
      </c>
      <c r="C39" s="70"/>
      <c r="D39" s="59"/>
      <c r="E39" s="59"/>
      <c r="F39" s="59"/>
      <c r="G39" s="60"/>
    </row>
    <row r="40" spans="1:7" ht="21" x14ac:dyDescent="0.25">
      <c r="A40" s="78"/>
      <c r="B40" s="79">
        <v>20</v>
      </c>
      <c r="C40" s="71"/>
      <c r="D40" s="59"/>
      <c r="E40" s="59"/>
      <c r="F40" s="59"/>
      <c r="G40" s="60"/>
    </row>
    <row r="41" spans="1:7" ht="21" x14ac:dyDescent="0.25">
      <c r="A41" s="78"/>
      <c r="B41" s="81">
        <v>21</v>
      </c>
      <c r="C41" s="71"/>
      <c r="D41" s="59"/>
      <c r="E41" s="59"/>
      <c r="F41" s="59"/>
      <c r="G41" s="60"/>
    </row>
    <row r="42" spans="1:7" ht="21" x14ac:dyDescent="0.25">
      <c r="A42" s="78"/>
      <c r="B42" s="79">
        <v>22</v>
      </c>
      <c r="C42" s="70"/>
      <c r="D42" s="59"/>
      <c r="E42" s="59"/>
      <c r="F42" s="59"/>
      <c r="G42" s="60"/>
    </row>
    <row r="43" spans="1:7" ht="21" x14ac:dyDescent="0.25">
      <c r="A43" s="78"/>
      <c r="B43" s="79">
        <v>23</v>
      </c>
      <c r="C43" s="70"/>
      <c r="D43" s="59"/>
      <c r="E43" s="59"/>
      <c r="F43" s="59"/>
      <c r="G43" s="60"/>
    </row>
    <row r="44" spans="1:7" ht="21" x14ac:dyDescent="0.25">
      <c r="A44" s="78"/>
      <c r="B44" s="81">
        <v>24</v>
      </c>
      <c r="C44" s="70"/>
      <c r="D44" s="59"/>
      <c r="E44" s="59"/>
      <c r="F44" s="59"/>
      <c r="G44" s="60"/>
    </row>
    <row r="45" spans="1:7" ht="21.6" thickBot="1" x14ac:dyDescent="0.3">
      <c r="A45" s="78"/>
      <c r="B45" s="82">
        <v>25</v>
      </c>
      <c r="C45" s="83"/>
      <c r="D45" s="59"/>
      <c r="E45" s="59"/>
      <c r="F45" s="59"/>
      <c r="G45" s="60"/>
    </row>
    <row r="46" spans="1:7" x14ac:dyDescent="0.25">
      <c r="A46" s="78"/>
      <c r="B46" s="55"/>
      <c r="C46" s="59"/>
      <c r="D46" s="59"/>
      <c r="E46" s="59"/>
      <c r="F46" s="59"/>
      <c r="G46" s="60"/>
    </row>
    <row r="47" spans="1:7" x14ac:dyDescent="0.25">
      <c r="A47" s="78"/>
      <c r="B47" s="59"/>
      <c r="C47" s="59"/>
      <c r="D47" s="59"/>
      <c r="E47" s="59"/>
      <c r="F47" s="59"/>
      <c r="G47" s="60"/>
    </row>
    <row r="48" spans="1:7" x14ac:dyDescent="0.25">
      <c r="A48" s="78"/>
      <c r="B48" s="59"/>
      <c r="C48" s="59"/>
      <c r="D48" s="59"/>
      <c r="E48" s="59"/>
      <c r="F48" s="59"/>
      <c r="G48" s="60"/>
    </row>
    <row r="49" spans="1:7" x14ac:dyDescent="0.25">
      <c r="A49" s="78"/>
      <c r="B49" s="59"/>
      <c r="C49" s="59"/>
      <c r="D49" s="59"/>
      <c r="E49" s="59"/>
      <c r="F49" s="59"/>
      <c r="G49" s="60"/>
    </row>
    <row r="50" spans="1:7" x14ac:dyDescent="0.25">
      <c r="A50" s="78"/>
      <c r="B50" s="59"/>
      <c r="C50" s="59"/>
      <c r="D50" s="59"/>
      <c r="E50" s="59"/>
      <c r="F50" s="59"/>
      <c r="G50" s="60"/>
    </row>
    <row r="51" spans="1:7" x14ac:dyDescent="0.25">
      <c r="A51" s="78"/>
      <c r="B51" s="59"/>
      <c r="C51" s="59"/>
      <c r="D51" s="59"/>
      <c r="E51" s="59"/>
      <c r="F51" s="59"/>
      <c r="G51" s="60"/>
    </row>
    <row r="52" spans="1:7" x14ac:dyDescent="0.25">
      <c r="A52" s="78"/>
      <c r="B52" s="59"/>
      <c r="C52" s="59"/>
      <c r="D52" s="59"/>
      <c r="E52" s="59"/>
      <c r="F52" s="59"/>
      <c r="G52" s="60"/>
    </row>
    <row r="53" spans="1:7" x14ac:dyDescent="0.25">
      <c r="A53" s="78"/>
      <c r="B53" s="59"/>
      <c r="C53" s="59"/>
      <c r="D53" s="59"/>
      <c r="E53" s="59"/>
      <c r="F53" s="59"/>
      <c r="G53" s="60"/>
    </row>
    <row r="54" spans="1:7" ht="13.8" thickBot="1" x14ac:dyDescent="0.3">
      <c r="A54" s="84"/>
      <c r="B54" s="75"/>
      <c r="C54" s="75"/>
      <c r="D54" s="75"/>
      <c r="E54" s="75"/>
      <c r="F54" s="75"/>
      <c r="G54" s="76"/>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4"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7620</xdr:colOff>
                <xdr:row>5</xdr:row>
                <xdr:rowOff>7620</xdr:rowOff>
              </from>
              <to>
                <xdr:col>6</xdr:col>
                <xdr:colOff>53340</xdr:colOff>
                <xdr:row>7</xdr:row>
                <xdr:rowOff>45720</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7620</xdr:colOff>
                <xdr:row>1</xdr:row>
                <xdr:rowOff>160020</xdr:rowOff>
              </from>
              <to>
                <xdr:col>6</xdr:col>
                <xdr:colOff>30480</xdr:colOff>
                <xdr:row>3</xdr:row>
                <xdr:rowOff>198120</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7620</xdr:colOff>
                <xdr:row>8</xdr:row>
                <xdr:rowOff>190500</xdr:rowOff>
              </from>
              <to>
                <xdr:col>6</xdr:col>
                <xdr:colOff>68580</xdr:colOff>
                <xdr:row>10</xdr:row>
                <xdr:rowOff>137160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546875" defaultRowHeight="19.5" customHeight="1" x14ac:dyDescent="0.25"/>
  <cols>
    <col min="1" max="1" width="17.88671875" style="20" customWidth="1"/>
    <col min="2" max="2" width="51.33203125" style="20" customWidth="1"/>
    <col min="3" max="3" width="19.44140625" style="20" customWidth="1"/>
    <col min="4" max="16384" width="1.5546875" style="20"/>
  </cols>
  <sheetData>
    <row r="1" spans="1:4" ht="13.8" thickBot="1" x14ac:dyDescent="0.3">
      <c r="B1" s="21"/>
      <c r="C1" s="21"/>
    </row>
    <row r="2" spans="1:4" ht="42.75" customHeight="1" thickBot="1" x14ac:dyDescent="0.3">
      <c r="A2" s="19"/>
      <c r="B2" s="23" t="s">
        <v>5</v>
      </c>
      <c r="C2" s="15" t="s">
        <v>18</v>
      </c>
    </row>
    <row r="3" spans="1:4" ht="19.5" customHeight="1" x14ac:dyDescent="0.25">
      <c r="A3" s="19"/>
      <c r="B3" s="95" t="s">
        <v>21</v>
      </c>
      <c r="C3" s="16">
        <v>0</v>
      </c>
    </row>
    <row r="4" spans="1:4" ht="19.5" customHeight="1" x14ac:dyDescent="0.25">
      <c r="A4" s="19"/>
      <c r="B4" s="96"/>
      <c r="C4" s="22">
        <v>0</v>
      </c>
      <c r="D4" s="29"/>
    </row>
    <row r="16" spans="1:4" ht="19.5" customHeight="1" x14ac:dyDescent="0.25">
      <c r="A16" s="41"/>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2" x14ac:dyDescent="0.25"/>
  <cols>
    <col min="2" max="2" width="51.88671875" customWidth="1"/>
    <col min="3" max="3" width="35" customWidth="1"/>
  </cols>
  <sheetData>
    <row r="3" spans="2:3" ht="27.75" customHeight="1" x14ac:dyDescent="0.25">
      <c r="B3" s="25" t="s">
        <v>16</v>
      </c>
      <c r="C3" s="27">
        <v>0</v>
      </c>
    </row>
    <row r="4" spans="2:3" ht="18"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0</v>
      </c>
      <c r="C13" s="13"/>
      <c r="D13" s="13"/>
    </row>
    <row r="14" spans="1:4" ht="13.8"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3.8"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1393A-BB9D-4654-8BC4-F8BD430117F6}">
  <sheetPr codeName="Feuil5"/>
  <dimension ref="A1:H113"/>
  <sheetViews>
    <sheetView topLeftCell="A47" workbookViewId="0">
      <selection activeCell="C108" sqref="C10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6" t="s">
        <v>14</v>
      </c>
      <c r="B1" s="7">
        <v>1</v>
      </c>
      <c r="C1" s="17"/>
      <c r="D1" s="85"/>
    </row>
    <row r="2" spans="1:4" ht="23.4" thickBot="1" x14ac:dyDescent="0.3">
      <c r="A2" s="8" t="s">
        <v>3</v>
      </c>
      <c r="B2" s="18" t="s">
        <v>15</v>
      </c>
      <c r="C2" s="8" t="s">
        <v>7</v>
      </c>
      <c r="D2" s="8" t="s">
        <v>13</v>
      </c>
    </row>
    <row r="3" spans="1:4" s="52" customFormat="1" x14ac:dyDescent="0.25">
      <c r="A3" s="89" t="s">
        <v>29</v>
      </c>
      <c r="B3" s="4">
        <v>3</v>
      </c>
      <c r="C3" s="91" t="s">
        <v>33</v>
      </c>
      <c r="D3" s="9"/>
    </row>
    <row r="4" spans="1:4" s="52" customFormat="1" x14ac:dyDescent="0.25">
      <c r="A4" s="90" t="s">
        <v>32</v>
      </c>
      <c r="B4" s="2">
        <v>3</v>
      </c>
      <c r="C4" s="92" t="s">
        <v>34</v>
      </c>
      <c r="D4" s="10"/>
    </row>
    <row r="5" spans="1:4" s="52" customFormat="1" x14ac:dyDescent="0.25">
      <c r="A5" s="90" t="s">
        <v>31</v>
      </c>
      <c r="B5" s="2">
        <v>3</v>
      </c>
      <c r="C5" s="92" t="s">
        <v>35</v>
      </c>
      <c r="D5" s="10"/>
    </row>
    <row r="6" spans="1:4" s="52" customFormat="1" x14ac:dyDescent="0.25">
      <c r="A6" s="90"/>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3.8" thickBot="1" x14ac:dyDescent="0.3">
      <c r="A12" s="3"/>
      <c r="B12" s="3"/>
      <c r="C12" s="11"/>
      <c r="D12" s="11"/>
    </row>
    <row r="13" spans="1:4" ht="13.8" thickBot="1" x14ac:dyDescent="0.3">
      <c r="A13" s="12" t="s">
        <v>22</v>
      </c>
      <c r="B13" s="12">
        <f>SUM(B3:B12)</f>
        <v>9</v>
      </c>
      <c r="C13" s="86" t="s">
        <v>27</v>
      </c>
      <c r="D13" s="13"/>
    </row>
    <row r="14" spans="1:4" ht="14.4" thickBot="1" x14ac:dyDescent="0.35">
      <c r="A14" s="14"/>
      <c r="B14" s="14"/>
      <c r="C14" s="14"/>
      <c r="D14" s="14"/>
    </row>
    <row r="15" spans="1:4" ht="18" thickBot="1" x14ac:dyDescent="0.3">
      <c r="A15" s="6" t="s">
        <v>14</v>
      </c>
      <c r="B15" s="7">
        <v>2</v>
      </c>
      <c r="C15" s="17"/>
      <c r="D15" s="85"/>
    </row>
    <row r="16" spans="1:4" ht="23.4" thickBot="1" x14ac:dyDescent="0.3">
      <c r="A16" s="8" t="s">
        <v>3</v>
      </c>
      <c r="B16" s="18" t="s">
        <v>15</v>
      </c>
      <c r="C16" s="8" t="s">
        <v>7</v>
      </c>
      <c r="D16" s="8" t="s">
        <v>13</v>
      </c>
    </row>
    <row r="17" spans="1:8" x14ac:dyDescent="0.25">
      <c r="A17" s="89" t="s">
        <v>42</v>
      </c>
      <c r="B17" s="4">
        <v>4</v>
      </c>
      <c r="C17" s="91" t="s">
        <v>46</v>
      </c>
      <c r="D17" s="9"/>
    </row>
    <row r="18" spans="1:8" x14ac:dyDescent="0.25">
      <c r="A18" s="90" t="s">
        <v>30</v>
      </c>
      <c r="B18" s="2">
        <v>2</v>
      </c>
      <c r="C18" s="92" t="s">
        <v>47</v>
      </c>
      <c r="D18" s="10"/>
    </row>
    <row r="19" spans="1:8" x14ac:dyDescent="0.25">
      <c r="A19" s="90" t="s">
        <v>48</v>
      </c>
      <c r="B19" s="2">
        <v>3</v>
      </c>
      <c r="C19" s="92" t="s">
        <v>49</v>
      </c>
      <c r="D19" s="10"/>
    </row>
    <row r="20" spans="1:8" ht="12.75" customHeight="1" x14ac:dyDescent="0.25">
      <c r="A20" s="1"/>
      <c r="B20" s="2"/>
      <c r="C20" s="10"/>
      <c r="D20" s="10"/>
      <c r="F20" s="31"/>
      <c r="G20" s="32"/>
      <c r="H20" s="33"/>
    </row>
    <row r="21" spans="1:8" ht="15" x14ac:dyDescent="0.25">
      <c r="A21" s="1"/>
      <c r="B21" s="2"/>
      <c r="C21" s="10"/>
      <c r="D21" s="10"/>
      <c r="F21" s="34"/>
      <c r="G21" s="30"/>
      <c r="H21" s="30"/>
    </row>
    <row r="22" spans="1:8" x14ac:dyDescent="0.25">
      <c r="A22" s="1"/>
      <c r="B22" s="2"/>
      <c r="C22" s="10"/>
      <c r="D22" s="10"/>
      <c r="F22" s="36"/>
      <c r="G22" s="37"/>
      <c r="H22" s="37"/>
    </row>
    <row r="23" spans="1:8" x14ac:dyDescent="0.25">
      <c r="A23" s="2"/>
      <c r="B23" s="2"/>
      <c r="C23" s="10"/>
      <c r="D23" s="10"/>
      <c r="F23" s="36"/>
      <c r="G23" s="37"/>
      <c r="H23" s="37"/>
    </row>
    <row r="24" spans="1:8" x14ac:dyDescent="0.25">
      <c r="A24" s="2"/>
      <c r="B24" s="2"/>
      <c r="C24" s="10"/>
      <c r="D24" s="10"/>
      <c r="F24" s="36"/>
      <c r="G24" s="37"/>
      <c r="H24" s="37"/>
    </row>
    <row r="25" spans="1:8" x14ac:dyDescent="0.25">
      <c r="A25" s="2"/>
      <c r="B25" s="2"/>
      <c r="C25" s="10"/>
      <c r="D25" s="10"/>
      <c r="F25" s="36"/>
      <c r="G25" s="37"/>
      <c r="H25" s="37"/>
    </row>
    <row r="26" spans="1:8" ht="13.8" thickBot="1" x14ac:dyDescent="0.3">
      <c r="A26" s="3"/>
      <c r="B26" s="3"/>
      <c r="C26" s="11"/>
      <c r="D26" s="11"/>
      <c r="F26" s="36"/>
      <c r="G26" s="37"/>
      <c r="H26" s="37"/>
    </row>
    <row r="27" spans="1:8" ht="13.8" thickBot="1" x14ac:dyDescent="0.3">
      <c r="A27" s="12" t="s">
        <v>22</v>
      </c>
      <c r="B27" s="12">
        <f>SUM(B17:B26)</f>
        <v>9</v>
      </c>
      <c r="C27" s="86" t="s">
        <v>27</v>
      </c>
      <c r="D27" s="13"/>
      <c r="F27" s="36"/>
      <c r="G27" s="37"/>
      <c r="H27" s="37"/>
    </row>
    <row r="28" spans="1:8" ht="14.4" thickBot="1" x14ac:dyDescent="0.35">
      <c r="A28" s="14"/>
      <c r="B28" s="14"/>
      <c r="C28" s="14"/>
      <c r="D28" s="14"/>
      <c r="F28" s="36"/>
      <c r="G28" s="37"/>
      <c r="H28" s="37"/>
    </row>
    <row r="29" spans="1:8" ht="18" thickBot="1" x14ac:dyDescent="0.3">
      <c r="A29" s="6" t="s">
        <v>14</v>
      </c>
      <c r="B29" s="7">
        <v>3</v>
      </c>
      <c r="C29" s="17"/>
      <c r="D29" s="85"/>
      <c r="F29" s="36"/>
      <c r="G29" s="37"/>
      <c r="H29" s="37"/>
    </row>
    <row r="30" spans="1:8" ht="23.4" thickBot="1" x14ac:dyDescent="0.3">
      <c r="A30" s="8" t="s">
        <v>3</v>
      </c>
      <c r="B30" s="18" t="s">
        <v>15</v>
      </c>
      <c r="C30" s="8" t="s">
        <v>7</v>
      </c>
      <c r="D30" s="8" t="s">
        <v>13</v>
      </c>
      <c r="F30" s="38"/>
      <c r="G30" s="39"/>
      <c r="H30" s="39"/>
    </row>
    <row r="31" spans="1:8" ht="13.8" x14ac:dyDescent="0.3">
      <c r="A31" s="89" t="s">
        <v>44</v>
      </c>
      <c r="B31" s="4">
        <v>2</v>
      </c>
      <c r="C31" s="91" t="s">
        <v>50</v>
      </c>
      <c r="D31" s="9"/>
      <c r="F31" s="40"/>
      <c r="G31" s="40"/>
      <c r="H31" s="40"/>
    </row>
    <row r="32" spans="1:8" x14ac:dyDescent="0.25">
      <c r="A32" s="90" t="s">
        <v>43</v>
      </c>
      <c r="B32" s="2">
        <v>4</v>
      </c>
      <c r="C32" s="92" t="s">
        <v>51</v>
      </c>
      <c r="D32" s="10"/>
    </row>
    <row r="33" spans="1:4" x14ac:dyDescent="0.25">
      <c r="A33" s="90" t="s">
        <v>52</v>
      </c>
      <c r="B33" s="2">
        <v>3</v>
      </c>
      <c r="C33" s="92" t="s">
        <v>53</v>
      </c>
      <c r="D33" s="10"/>
    </row>
    <row r="34" spans="1:4" x14ac:dyDescent="0.25">
      <c r="A34" s="90"/>
      <c r="B34" s="2"/>
      <c r="C34" s="10"/>
      <c r="D34" s="10"/>
    </row>
    <row r="35" spans="1:4" x14ac:dyDescent="0.25">
      <c r="A35" s="90"/>
      <c r="B35" s="2"/>
      <c r="C35" s="10"/>
      <c r="D35" s="10"/>
    </row>
    <row r="36" spans="1:4" x14ac:dyDescent="0.25">
      <c r="A36" s="1"/>
      <c r="B36" s="2"/>
      <c r="C36" s="10"/>
      <c r="D36" s="10"/>
    </row>
    <row r="37" spans="1:4" x14ac:dyDescent="0.25">
      <c r="A37" s="2"/>
      <c r="B37" s="2"/>
      <c r="C37" s="10"/>
      <c r="D37" s="10"/>
    </row>
    <row r="38" spans="1:4" x14ac:dyDescent="0.25">
      <c r="A38" s="2"/>
      <c r="B38" s="2"/>
      <c r="C38" s="10"/>
      <c r="D38" s="10"/>
    </row>
    <row r="39" spans="1:4" x14ac:dyDescent="0.25">
      <c r="A39" s="2"/>
      <c r="B39" s="2"/>
      <c r="C39" s="10"/>
      <c r="D39" s="10"/>
    </row>
    <row r="40" spans="1:4" ht="13.8" thickBot="1" x14ac:dyDescent="0.3">
      <c r="A40" s="3"/>
      <c r="B40" s="3"/>
      <c r="C40" s="11"/>
      <c r="D40" s="11"/>
    </row>
    <row r="41" spans="1:4" ht="13.8" thickBot="1" x14ac:dyDescent="0.3">
      <c r="A41" s="12" t="s">
        <v>22</v>
      </c>
      <c r="B41" s="12">
        <f>SUM(B31:B40)</f>
        <v>9</v>
      </c>
      <c r="C41" s="86" t="s">
        <v>27</v>
      </c>
      <c r="D41" s="13"/>
    </row>
    <row r="42" spans="1:4" ht="14.4" thickBot="1" x14ac:dyDescent="0.35">
      <c r="A42" s="14"/>
      <c r="B42" s="14"/>
      <c r="C42" s="14"/>
      <c r="D42" s="14"/>
    </row>
    <row r="43" spans="1:4" ht="18" thickBot="1" x14ac:dyDescent="0.3">
      <c r="A43" s="6" t="s">
        <v>14</v>
      </c>
      <c r="B43" s="7">
        <v>4</v>
      </c>
      <c r="C43" s="17"/>
      <c r="D43" s="85"/>
    </row>
    <row r="44" spans="1:4" ht="23.4" thickBot="1" x14ac:dyDescent="0.3">
      <c r="A44" s="8" t="s">
        <v>3</v>
      </c>
      <c r="B44" s="18" t="s">
        <v>15</v>
      </c>
      <c r="C44" s="8" t="s">
        <v>7</v>
      </c>
      <c r="D44" s="8" t="s">
        <v>13</v>
      </c>
    </row>
    <row r="45" spans="1:4" ht="26.4" x14ac:dyDescent="0.25">
      <c r="A45" s="89" t="s">
        <v>55</v>
      </c>
      <c r="B45" s="4">
        <v>5</v>
      </c>
      <c r="C45" s="91" t="s">
        <v>54</v>
      </c>
      <c r="D45" s="9"/>
    </row>
    <row r="46" spans="1:4" x14ac:dyDescent="0.25">
      <c r="A46" s="90" t="s">
        <v>45</v>
      </c>
      <c r="B46" s="2">
        <v>2</v>
      </c>
      <c r="C46" s="92" t="s">
        <v>56</v>
      </c>
      <c r="D46" s="10"/>
    </row>
    <row r="47" spans="1:4" x14ac:dyDescent="0.25">
      <c r="A47" s="90" t="s">
        <v>30</v>
      </c>
      <c r="B47" s="2">
        <v>2</v>
      </c>
      <c r="C47" s="92" t="s">
        <v>57</v>
      </c>
      <c r="D47" s="10"/>
    </row>
    <row r="48" spans="1:4"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3.8" thickBot="1" x14ac:dyDescent="0.3">
      <c r="A54" s="3"/>
      <c r="B54" s="3"/>
      <c r="C54" s="11"/>
      <c r="D54" s="11"/>
    </row>
    <row r="55" spans="1:4" ht="13.8" thickBot="1" x14ac:dyDescent="0.3">
      <c r="A55" s="12" t="s">
        <v>22</v>
      </c>
      <c r="B55" s="12">
        <f>SUM(B45:B54)</f>
        <v>9</v>
      </c>
      <c r="C55" s="86" t="s">
        <v>27</v>
      </c>
      <c r="D55" s="13"/>
    </row>
    <row r="56" spans="1:4" ht="14.4" thickBot="1" x14ac:dyDescent="0.35">
      <c r="A56" s="14"/>
      <c r="B56" s="14"/>
      <c r="C56" s="14"/>
      <c r="D56" s="14"/>
    </row>
    <row r="57" spans="1:4" ht="18" thickBot="1" x14ac:dyDescent="0.3">
      <c r="A57" s="6" t="s">
        <v>14</v>
      </c>
      <c r="B57" s="7">
        <v>5</v>
      </c>
      <c r="C57" s="17"/>
      <c r="D57" s="85"/>
    </row>
    <row r="58" spans="1:4" ht="23.4" thickBot="1" x14ac:dyDescent="0.3">
      <c r="A58" s="8" t="s">
        <v>3</v>
      </c>
      <c r="B58" s="18" t="s">
        <v>15</v>
      </c>
      <c r="C58" s="8" t="s">
        <v>7</v>
      </c>
      <c r="D58" s="8" t="s">
        <v>13</v>
      </c>
    </row>
    <row r="59" spans="1:4" x14ac:dyDescent="0.25">
      <c r="A59" s="89" t="s">
        <v>60</v>
      </c>
      <c r="B59" s="4">
        <v>2</v>
      </c>
      <c r="C59" s="91" t="s">
        <v>61</v>
      </c>
      <c r="D59" s="9"/>
    </row>
    <row r="60" spans="1:4" x14ac:dyDescent="0.25">
      <c r="A60" s="1" t="s">
        <v>58</v>
      </c>
      <c r="B60" s="2">
        <v>5</v>
      </c>
      <c r="C60" s="10" t="s">
        <v>59</v>
      </c>
      <c r="D60" s="10"/>
    </row>
    <row r="61" spans="1:4" x14ac:dyDescent="0.25">
      <c r="A61" s="90" t="s">
        <v>30</v>
      </c>
      <c r="B61" s="2">
        <v>1</v>
      </c>
      <c r="C61" s="92" t="s">
        <v>62</v>
      </c>
      <c r="D61" s="10"/>
    </row>
    <row r="62" spans="1:4" x14ac:dyDescent="0.25">
      <c r="A62" s="90" t="s">
        <v>45</v>
      </c>
      <c r="B62" s="2">
        <v>1</v>
      </c>
      <c r="C62" s="92" t="s">
        <v>63</v>
      </c>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3.8" thickBot="1" x14ac:dyDescent="0.3">
      <c r="A68" s="3"/>
      <c r="B68" s="3"/>
      <c r="C68" s="11"/>
      <c r="D68" s="11"/>
    </row>
    <row r="69" spans="1:4" ht="13.8" thickBot="1" x14ac:dyDescent="0.3">
      <c r="A69" s="12" t="s">
        <v>22</v>
      </c>
      <c r="B69" s="12">
        <f>SUM(B59:B68)</f>
        <v>9</v>
      </c>
      <c r="C69" s="86" t="s">
        <v>27</v>
      </c>
      <c r="D69" s="13"/>
    </row>
    <row r="70" spans="1:4" ht="14.4" thickBot="1" x14ac:dyDescent="0.35">
      <c r="A70" s="14"/>
      <c r="B70" s="14"/>
      <c r="C70" s="14"/>
      <c r="D70" s="14"/>
    </row>
    <row r="71" spans="1:4" ht="18" thickBot="1" x14ac:dyDescent="0.3">
      <c r="A71" s="6" t="s">
        <v>14</v>
      </c>
      <c r="B71" s="7">
        <v>6</v>
      </c>
      <c r="C71" s="17"/>
      <c r="D71" s="85"/>
    </row>
    <row r="72" spans="1:4" ht="23.4" thickBot="1" x14ac:dyDescent="0.3">
      <c r="A72" s="8" t="s">
        <v>3</v>
      </c>
      <c r="B72" s="18" t="s">
        <v>15</v>
      </c>
      <c r="C72" s="8" t="s">
        <v>7</v>
      </c>
      <c r="D72" s="8" t="s">
        <v>13</v>
      </c>
    </row>
    <row r="73" spans="1:4" x14ac:dyDescent="0.25">
      <c r="A73" s="89" t="s">
        <v>58</v>
      </c>
      <c r="B73" s="4">
        <v>3</v>
      </c>
      <c r="C73" s="91" t="s">
        <v>64</v>
      </c>
      <c r="D73" s="9"/>
    </row>
    <row r="74" spans="1:4" x14ac:dyDescent="0.25">
      <c r="A74" s="90" t="s">
        <v>45</v>
      </c>
      <c r="B74" s="2">
        <v>5</v>
      </c>
      <c r="C74" s="92" t="s">
        <v>65</v>
      </c>
      <c r="D74" s="10"/>
    </row>
    <row r="75" spans="1:4" x14ac:dyDescent="0.25">
      <c r="A75" s="90" t="s">
        <v>30</v>
      </c>
      <c r="B75" s="2">
        <v>1</v>
      </c>
      <c r="C75" s="92" t="s">
        <v>66</v>
      </c>
      <c r="D75" s="10"/>
    </row>
    <row r="76" spans="1:4" x14ac:dyDescent="0.25">
      <c r="A76" s="1"/>
      <c r="B76" s="2"/>
      <c r="C76" s="10"/>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3.8" thickBot="1" x14ac:dyDescent="0.3">
      <c r="A82" s="3"/>
      <c r="B82" s="3"/>
      <c r="C82" s="11"/>
      <c r="D82" s="11"/>
    </row>
    <row r="83" spans="1:4" ht="13.8" thickBot="1" x14ac:dyDescent="0.3">
      <c r="A83" s="12" t="s">
        <v>22</v>
      </c>
      <c r="B83" s="12">
        <f>SUM(B73:B82)</f>
        <v>9</v>
      </c>
      <c r="C83" s="86" t="s">
        <v>27</v>
      </c>
      <c r="D83" s="13"/>
    </row>
    <row r="84" spans="1:4" ht="14.4" thickBot="1" x14ac:dyDescent="0.35">
      <c r="A84" s="14"/>
      <c r="B84" s="14"/>
      <c r="C84" s="14"/>
      <c r="D84" s="14"/>
    </row>
    <row r="85" spans="1:4" ht="18" thickBot="1" x14ac:dyDescent="0.3">
      <c r="A85" s="6" t="s">
        <v>14</v>
      </c>
      <c r="B85" s="7">
        <v>7</v>
      </c>
      <c r="C85" s="17"/>
      <c r="D85" s="85"/>
    </row>
    <row r="86" spans="1:4" ht="23.4" thickBot="1" x14ac:dyDescent="0.3">
      <c r="A86" s="8" t="s">
        <v>3</v>
      </c>
      <c r="B86" s="18" t="s">
        <v>15</v>
      </c>
      <c r="C86" s="8" t="s">
        <v>7</v>
      </c>
      <c r="D86" s="8" t="s">
        <v>13</v>
      </c>
    </row>
    <row r="87" spans="1:4" ht="26.4" x14ac:dyDescent="0.25">
      <c r="A87" s="89" t="s">
        <v>45</v>
      </c>
      <c r="B87" s="4">
        <v>6</v>
      </c>
      <c r="C87" s="91" t="s">
        <v>67</v>
      </c>
      <c r="D87" s="9"/>
    </row>
    <row r="88" spans="1:4" ht="26.4" x14ac:dyDescent="0.25">
      <c r="A88" s="90" t="s">
        <v>30</v>
      </c>
      <c r="B88" s="2">
        <v>3</v>
      </c>
      <c r="C88" s="92" t="s">
        <v>68</v>
      </c>
      <c r="D88" s="10"/>
    </row>
    <row r="89" spans="1:4" x14ac:dyDescent="0.25">
      <c r="A89" s="1"/>
      <c r="B89" s="2"/>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3.8" thickBot="1" x14ac:dyDescent="0.3">
      <c r="A96" s="3"/>
      <c r="B96" s="3"/>
      <c r="C96" s="11"/>
      <c r="D96" s="11"/>
    </row>
    <row r="97" spans="1:4" ht="13.8" thickBot="1" x14ac:dyDescent="0.3">
      <c r="A97" s="12" t="s">
        <v>22</v>
      </c>
      <c r="B97" s="12">
        <f>SUM(B87:B96)</f>
        <v>9</v>
      </c>
      <c r="C97" s="86" t="s">
        <v>27</v>
      </c>
      <c r="D97" s="13"/>
    </row>
    <row r="98" spans="1:4" ht="14.4" thickBot="1" x14ac:dyDescent="0.35">
      <c r="A98" s="14"/>
      <c r="B98" s="14"/>
      <c r="C98" s="14"/>
      <c r="D98" s="14"/>
    </row>
    <row r="99" spans="1:4" ht="18" thickBot="1" x14ac:dyDescent="0.3">
      <c r="A99" s="6" t="s">
        <v>14</v>
      </c>
      <c r="B99" s="7">
        <v>8</v>
      </c>
      <c r="C99" s="17"/>
      <c r="D99" s="85"/>
    </row>
    <row r="100" spans="1:4" ht="23.4" thickBot="1" x14ac:dyDescent="0.3">
      <c r="A100" s="8" t="s">
        <v>3</v>
      </c>
      <c r="B100" s="18" t="s">
        <v>15</v>
      </c>
      <c r="C100" s="8" t="s">
        <v>7</v>
      </c>
      <c r="D100" s="8" t="s">
        <v>13</v>
      </c>
    </row>
    <row r="101" spans="1:4" ht="26.4" x14ac:dyDescent="0.25">
      <c r="A101" s="89" t="s">
        <v>69</v>
      </c>
      <c r="B101" s="4">
        <v>5</v>
      </c>
      <c r="C101" s="91" t="s">
        <v>72</v>
      </c>
      <c r="D101" s="9"/>
    </row>
    <row r="102" spans="1:4" x14ac:dyDescent="0.25">
      <c r="A102" s="90" t="s">
        <v>70</v>
      </c>
      <c r="B102" s="2">
        <v>3</v>
      </c>
      <c r="C102" s="92" t="s">
        <v>73</v>
      </c>
      <c r="D102" s="10"/>
    </row>
    <row r="103" spans="1:4" x14ac:dyDescent="0.25">
      <c r="A103" s="90" t="s">
        <v>71</v>
      </c>
      <c r="B103" s="2">
        <v>1</v>
      </c>
      <c r="C103" s="92" t="s">
        <v>74</v>
      </c>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3.8" thickBot="1" x14ac:dyDescent="0.3">
      <c r="A110" s="3"/>
      <c r="B110" s="3"/>
      <c r="C110" s="11"/>
      <c r="D110" s="11"/>
    </row>
    <row r="111" spans="1:4" ht="13.8" thickBot="1" x14ac:dyDescent="0.3">
      <c r="A111" s="12" t="s">
        <v>22</v>
      </c>
      <c r="B111" s="12">
        <f>SUM(B101:B110)</f>
        <v>9</v>
      </c>
      <c r="C111" s="86" t="s">
        <v>27</v>
      </c>
      <c r="D111" s="13"/>
    </row>
    <row r="112" spans="1:4" ht="13.8" x14ac:dyDescent="0.3">
      <c r="A112" s="14"/>
      <c r="B112" s="14"/>
      <c r="C112" s="14"/>
      <c r="D112" s="14"/>
    </row>
    <row r="113" spans="1:1" x14ac:dyDescent="0.25">
      <c r="A113" s="87" t="s">
        <v>28</v>
      </c>
    </row>
  </sheetData>
  <sheetProtection sheet="1" objects="1" scenarios="1" insertRows="0" selectLockedCells="1"/>
  <dataValidations count="4">
    <dataValidation type="list" allowBlank="1" showInputMessage="1" showErrorMessage="1" sqref="A3:A12 A17:A26 A31:A40 A45:A54 A59:A68 A73:A82 A87:A96 A101:A110" xr:uid="{35487018-41F5-4036-8080-195ABBC8F1F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BDAFC0A0-1FB5-434C-B4BC-A4A426F7561F}">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B101:B110" xr:uid="{87A1D46A-606F-4EC4-AEDD-FC3E90EA018C}">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B09C5E51-AF1C-4A2A-86DE-37C14C306B06}">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9937" r:id="rId4" name="btnImportPlanific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9937"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row>
    <row r="2" spans="1:4" ht="23.4" thickBot="1" x14ac:dyDescent="0.3">
      <c r="A2" s="45" t="s">
        <v>3</v>
      </c>
      <c r="B2" s="46" t="s">
        <v>15</v>
      </c>
      <c r="C2" s="45" t="s">
        <v>7</v>
      </c>
      <c r="D2" s="45" t="s">
        <v>13</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0</v>
      </c>
      <c r="C18" s="48"/>
      <c r="D18" s="48"/>
    </row>
    <row r="19" spans="1:8" ht="13.8"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3.8"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594360</xdr:colOff>
                <xdr:row>0</xdr:row>
                <xdr:rowOff>182880</xdr:rowOff>
              </from>
              <to>
                <xdr:col>7</xdr:col>
                <xdr:colOff>190500</xdr:colOff>
                <xdr:row>3</xdr:row>
                <xdr:rowOff>53340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2E07-6D8B-48B1-AB12-10BF13D6BFC2}">
  <sheetPr codeName="Feuil9"/>
  <dimension ref="A1:H153"/>
  <sheetViews>
    <sheetView tabSelected="1" workbookViewId="0">
      <selection activeCell="A3" sqref="A3"/>
    </sheetView>
  </sheetViews>
  <sheetFormatPr baseColWidth="10" defaultColWidth="11.44140625" defaultRowHeight="13.2" x14ac:dyDescent="0.25"/>
  <cols>
    <col min="1" max="1" width="21.44140625" style="20" customWidth="1"/>
    <col min="2" max="2" width="8.5546875" style="20" customWidth="1"/>
    <col min="3" max="3" width="87" style="20" customWidth="1"/>
    <col min="4" max="4" width="44.109375" style="20" customWidth="1"/>
    <col min="5" max="16384" width="11.44140625" style="20"/>
  </cols>
  <sheetData>
    <row r="1" spans="1:4" ht="18" thickBot="1" x14ac:dyDescent="0.3">
      <c r="A1" s="42" t="s">
        <v>14</v>
      </c>
      <c r="B1" s="43">
        <v>1</v>
      </c>
      <c r="C1" s="44" t="s">
        <v>23</v>
      </c>
      <c r="D1" s="53">
        <f>Donnees!$C$9</f>
        <v>45532</v>
      </c>
    </row>
    <row r="2" spans="1:4" ht="23.4" thickBot="1" x14ac:dyDescent="0.3">
      <c r="A2" s="45" t="s">
        <v>3</v>
      </c>
      <c r="B2" s="46" t="s">
        <v>15</v>
      </c>
      <c r="C2" s="45" t="s">
        <v>7</v>
      </c>
      <c r="D2" s="45" t="s">
        <v>13</v>
      </c>
    </row>
    <row r="3" spans="1:4" s="52" customFormat="1" ht="26.4" x14ac:dyDescent="0.25">
      <c r="A3" s="89" t="s">
        <v>36</v>
      </c>
      <c r="B3" s="4">
        <v>2</v>
      </c>
      <c r="C3" s="91" t="s">
        <v>99</v>
      </c>
      <c r="D3" s="9"/>
    </row>
    <row r="4" spans="1:4" s="52" customFormat="1" ht="26.4" x14ac:dyDescent="0.25">
      <c r="A4" s="90" t="s">
        <v>37</v>
      </c>
      <c r="B4" s="2">
        <v>2</v>
      </c>
      <c r="C4" s="92" t="s">
        <v>39</v>
      </c>
      <c r="D4" s="10"/>
    </row>
    <row r="5" spans="1:4" s="52" customFormat="1" ht="26.4" x14ac:dyDescent="0.25">
      <c r="A5" s="90" t="s">
        <v>38</v>
      </c>
      <c r="B5" s="2">
        <v>2</v>
      </c>
      <c r="C5" s="92" t="s">
        <v>40</v>
      </c>
      <c r="D5" s="10"/>
    </row>
    <row r="6" spans="1:4" s="52" customFormat="1" ht="26.4" x14ac:dyDescent="0.25">
      <c r="A6" s="90" t="s">
        <v>32</v>
      </c>
      <c r="B6" s="2">
        <v>3</v>
      </c>
      <c r="C6" s="92" t="s">
        <v>41</v>
      </c>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3.8" thickBot="1" x14ac:dyDescent="0.3">
      <c r="A17" s="3"/>
      <c r="B17" s="3"/>
      <c r="C17" s="11"/>
      <c r="D17" s="11"/>
    </row>
    <row r="18" spans="1:8" ht="13.8" thickBot="1" x14ac:dyDescent="0.3">
      <c r="A18" s="47" t="s">
        <v>22</v>
      </c>
      <c r="B18" s="47">
        <f>SUM(B3:B17)</f>
        <v>9</v>
      </c>
      <c r="C18" s="88" t="s">
        <v>27</v>
      </c>
      <c r="D18" s="48"/>
    </row>
    <row r="19" spans="1:8" ht="14.4" thickBot="1" x14ac:dyDescent="0.35">
      <c r="A19" s="49"/>
      <c r="B19" s="49"/>
      <c r="C19" s="49"/>
      <c r="D19" s="49"/>
    </row>
    <row r="20" spans="1:8" ht="18" thickBot="1" x14ac:dyDescent="0.3">
      <c r="A20" s="42" t="s">
        <v>14</v>
      </c>
      <c r="B20" s="43">
        <v>2</v>
      </c>
      <c r="C20" s="44" t="s">
        <v>23</v>
      </c>
      <c r="D20" s="53">
        <f>$D$1+7</f>
        <v>45539</v>
      </c>
    </row>
    <row r="21" spans="1:8" ht="23.4" thickBot="1" x14ac:dyDescent="0.3">
      <c r="A21" s="45" t="s">
        <v>3</v>
      </c>
      <c r="B21" s="46" t="s">
        <v>15</v>
      </c>
      <c r="C21" s="45" t="s">
        <v>7</v>
      </c>
      <c r="D21" s="45" t="s">
        <v>13</v>
      </c>
    </row>
    <row r="22" spans="1:8" x14ac:dyDescent="0.25">
      <c r="A22" s="89" t="s">
        <v>38</v>
      </c>
      <c r="B22" s="4">
        <v>2</v>
      </c>
      <c r="C22" s="91" t="s">
        <v>75</v>
      </c>
      <c r="D22" s="9"/>
    </row>
    <row r="23" spans="1:8" x14ac:dyDescent="0.25">
      <c r="A23" s="90" t="s">
        <v>42</v>
      </c>
      <c r="B23" s="2">
        <v>6</v>
      </c>
      <c r="C23" s="92" t="s">
        <v>76</v>
      </c>
      <c r="D23" s="10"/>
    </row>
    <row r="24" spans="1:8" x14ac:dyDescent="0.25">
      <c r="A24" s="90" t="s">
        <v>30</v>
      </c>
      <c r="B24" s="2">
        <v>1</v>
      </c>
      <c r="C24" s="92" t="s">
        <v>77</v>
      </c>
      <c r="D24" s="10"/>
    </row>
    <row r="25" spans="1:8" ht="12.75" customHeight="1" x14ac:dyDescent="0.25">
      <c r="A25" s="1"/>
      <c r="B25" s="2"/>
      <c r="C25" s="10"/>
      <c r="D25" s="10"/>
      <c r="F25" s="31"/>
      <c r="G25" s="32"/>
      <c r="H25" s="33"/>
    </row>
    <row r="26" spans="1:8" ht="15" x14ac:dyDescent="0.25">
      <c r="A26" s="1"/>
      <c r="B26" s="2"/>
      <c r="C26" s="10"/>
      <c r="D26" s="10"/>
      <c r="F26" s="34"/>
      <c r="G26" s="30"/>
      <c r="H26" s="30"/>
    </row>
    <row r="27" spans="1:8" x14ac:dyDescent="0.25">
      <c r="A27" s="1"/>
      <c r="B27" s="2"/>
      <c r="C27" s="10"/>
      <c r="D27" s="10"/>
      <c r="F27" s="36"/>
      <c r="G27" s="37"/>
      <c r="H27" s="37"/>
    </row>
    <row r="28" spans="1:8" x14ac:dyDescent="0.25">
      <c r="A28" s="1"/>
      <c r="B28" s="2"/>
      <c r="C28" s="10"/>
      <c r="D28" s="10"/>
      <c r="F28" s="36"/>
      <c r="G28" s="37"/>
      <c r="H28" s="37"/>
    </row>
    <row r="29" spans="1:8" x14ac:dyDescent="0.25">
      <c r="A29" s="1"/>
      <c r="B29" s="2"/>
      <c r="C29" s="10"/>
      <c r="D29" s="10"/>
      <c r="F29" s="36"/>
      <c r="G29" s="37"/>
      <c r="H29" s="37"/>
    </row>
    <row r="30" spans="1:8" x14ac:dyDescent="0.25">
      <c r="A30" s="1"/>
      <c r="B30" s="2"/>
      <c r="C30" s="10"/>
      <c r="D30" s="10"/>
      <c r="F30" s="36"/>
      <c r="G30" s="37"/>
      <c r="H30" s="37"/>
    </row>
    <row r="31" spans="1:8" x14ac:dyDescent="0.25">
      <c r="A31" s="2"/>
      <c r="B31" s="2"/>
      <c r="C31" s="10"/>
      <c r="D31" s="10"/>
      <c r="F31" s="36"/>
      <c r="G31" s="37"/>
      <c r="H31" s="37"/>
    </row>
    <row r="32" spans="1:8" x14ac:dyDescent="0.25">
      <c r="A32" s="2"/>
      <c r="B32" s="2"/>
      <c r="C32" s="10"/>
      <c r="D32" s="10"/>
      <c r="F32" s="36"/>
      <c r="G32" s="37"/>
      <c r="H32" s="37"/>
    </row>
    <row r="33" spans="1:8" x14ac:dyDescent="0.25">
      <c r="A33" s="2"/>
      <c r="B33" s="2"/>
      <c r="C33" s="10"/>
      <c r="D33" s="10"/>
      <c r="F33" s="36"/>
      <c r="G33" s="37"/>
      <c r="H33" s="37"/>
    </row>
    <row r="34" spans="1:8" x14ac:dyDescent="0.25">
      <c r="A34" s="50"/>
      <c r="B34" s="50"/>
      <c r="C34" s="51"/>
      <c r="D34" s="51"/>
      <c r="F34" s="36"/>
      <c r="G34" s="37"/>
      <c r="H34" s="37"/>
    </row>
    <row r="35" spans="1:8" x14ac:dyDescent="0.25">
      <c r="A35" s="50"/>
      <c r="B35" s="50"/>
      <c r="C35" s="51"/>
      <c r="D35" s="51"/>
      <c r="F35" s="38"/>
      <c r="G35" s="39"/>
      <c r="H35" s="39"/>
    </row>
    <row r="36" spans="1:8" ht="14.4" thickBot="1" x14ac:dyDescent="0.35">
      <c r="A36" s="3"/>
      <c r="B36" s="3"/>
      <c r="C36" s="11"/>
      <c r="D36" s="11"/>
      <c r="F36" s="40"/>
      <c r="G36" s="40"/>
      <c r="H36" s="40"/>
    </row>
    <row r="37" spans="1:8" ht="13.8" thickBot="1" x14ac:dyDescent="0.3">
      <c r="A37" s="47" t="s">
        <v>22</v>
      </c>
      <c r="B37" s="47">
        <f>SUM(B22:B36)</f>
        <v>9</v>
      </c>
      <c r="C37" s="88" t="s">
        <v>27</v>
      </c>
      <c r="D37" s="48"/>
    </row>
    <row r="38" spans="1:8" ht="14.4" thickBot="1" x14ac:dyDescent="0.35">
      <c r="A38" s="49"/>
      <c r="B38" s="49"/>
      <c r="C38" s="49"/>
      <c r="D38" s="49"/>
    </row>
    <row r="39" spans="1:8" ht="18" thickBot="1" x14ac:dyDescent="0.3">
      <c r="A39" s="42" t="s">
        <v>14</v>
      </c>
      <c r="B39" s="43">
        <v>3</v>
      </c>
      <c r="C39" s="44" t="s">
        <v>23</v>
      </c>
      <c r="D39" s="53">
        <f>$D$20+7</f>
        <v>45546</v>
      </c>
    </row>
    <row r="40" spans="1:8" ht="23.4" thickBot="1" x14ac:dyDescent="0.3">
      <c r="A40" s="45" t="s">
        <v>3</v>
      </c>
      <c r="B40" s="46" t="s">
        <v>15</v>
      </c>
      <c r="C40" s="45" t="s">
        <v>7</v>
      </c>
      <c r="D40" s="45" t="s">
        <v>13</v>
      </c>
    </row>
    <row r="41" spans="1:8" ht="26.4" x14ac:dyDescent="0.25">
      <c r="A41" s="89" t="s">
        <v>78</v>
      </c>
      <c r="B41" s="4">
        <v>8</v>
      </c>
      <c r="C41" s="91" t="s">
        <v>79</v>
      </c>
      <c r="D41" s="9"/>
    </row>
    <row r="42" spans="1:8" x14ac:dyDescent="0.25">
      <c r="A42" s="90" t="s">
        <v>30</v>
      </c>
      <c r="B42" s="2">
        <v>1</v>
      </c>
      <c r="C42" s="92" t="s">
        <v>80</v>
      </c>
      <c r="D42" s="10"/>
    </row>
    <row r="43" spans="1:8" x14ac:dyDescent="0.25">
      <c r="A43" s="1"/>
      <c r="B43" s="2"/>
      <c r="C43" s="10"/>
      <c r="D43" s="10"/>
    </row>
    <row r="44" spans="1:8" x14ac:dyDescent="0.25">
      <c r="A44" s="1"/>
      <c r="B44" s="2"/>
      <c r="C44" s="10"/>
      <c r="D44" s="10"/>
    </row>
    <row r="45" spans="1:8" x14ac:dyDescent="0.25">
      <c r="A45" s="1"/>
      <c r="B45" s="2"/>
      <c r="C45" s="10"/>
      <c r="D45" s="10"/>
    </row>
    <row r="46" spans="1:8" x14ac:dyDescent="0.25">
      <c r="A46" s="1"/>
      <c r="B46" s="2"/>
      <c r="C46" s="10"/>
      <c r="D46" s="10"/>
    </row>
    <row r="47" spans="1:8" x14ac:dyDescent="0.25">
      <c r="A47" s="1"/>
      <c r="B47" s="2"/>
      <c r="C47" s="10"/>
      <c r="D47" s="10"/>
    </row>
    <row r="48" spans="1:8"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0"/>
      <c r="B53" s="50"/>
      <c r="C53" s="51"/>
      <c r="D53" s="51"/>
    </row>
    <row r="54" spans="1:4" x14ac:dyDescent="0.25">
      <c r="A54" s="50"/>
      <c r="B54" s="50"/>
      <c r="C54" s="51"/>
      <c r="D54" s="51"/>
    </row>
    <row r="55" spans="1:4" ht="13.8" thickBot="1" x14ac:dyDescent="0.3">
      <c r="A55" s="3"/>
      <c r="B55" s="3"/>
      <c r="C55" s="11"/>
      <c r="D55" s="11"/>
    </row>
    <row r="56" spans="1:4" ht="13.8" thickBot="1" x14ac:dyDescent="0.3">
      <c r="A56" s="47" t="s">
        <v>22</v>
      </c>
      <c r="B56" s="47">
        <f>SUM(B41:B55)</f>
        <v>9</v>
      </c>
      <c r="C56" s="88" t="s">
        <v>27</v>
      </c>
      <c r="D56" s="48"/>
    </row>
    <row r="57" spans="1:4" ht="14.4" thickBot="1" x14ac:dyDescent="0.35">
      <c r="A57" s="49"/>
      <c r="B57" s="49"/>
      <c r="C57" s="49"/>
      <c r="D57" s="49"/>
    </row>
    <row r="58" spans="1:4" ht="18" thickBot="1" x14ac:dyDescent="0.3">
      <c r="A58" s="42" t="s">
        <v>14</v>
      </c>
      <c r="B58" s="43">
        <v>4</v>
      </c>
      <c r="C58" s="44" t="s">
        <v>23</v>
      </c>
      <c r="D58" s="53">
        <f>$D$39+7</f>
        <v>45553</v>
      </c>
    </row>
    <row r="59" spans="1:4" ht="23.4" thickBot="1" x14ac:dyDescent="0.3">
      <c r="A59" s="45" t="s">
        <v>3</v>
      </c>
      <c r="B59" s="46" t="s">
        <v>15</v>
      </c>
      <c r="C59" s="45" t="s">
        <v>7</v>
      </c>
      <c r="D59" s="45" t="s">
        <v>13</v>
      </c>
    </row>
    <row r="60" spans="1:4" ht="26.4" x14ac:dyDescent="0.25">
      <c r="A60" s="89" t="s">
        <v>81</v>
      </c>
      <c r="B60" s="4">
        <v>3</v>
      </c>
      <c r="C60" s="91" t="s">
        <v>82</v>
      </c>
      <c r="D60" s="91" t="s">
        <v>83</v>
      </c>
    </row>
    <row r="61" spans="1:4" ht="26.4" x14ac:dyDescent="0.25">
      <c r="A61" s="90" t="s">
        <v>84</v>
      </c>
      <c r="B61" s="2">
        <v>1</v>
      </c>
      <c r="C61" s="92" t="s">
        <v>85</v>
      </c>
      <c r="D61" s="92" t="s">
        <v>91</v>
      </c>
    </row>
    <row r="62" spans="1:4" ht="39.6" x14ac:dyDescent="0.25">
      <c r="A62" s="90" t="s">
        <v>78</v>
      </c>
      <c r="B62" s="2">
        <v>5</v>
      </c>
      <c r="C62" s="92" t="s">
        <v>86</v>
      </c>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0"/>
      <c r="B72" s="50"/>
      <c r="C72" s="51"/>
      <c r="D72" s="51"/>
    </row>
    <row r="73" spans="1:4" x14ac:dyDescent="0.25">
      <c r="A73" s="50"/>
      <c r="B73" s="50"/>
      <c r="C73" s="51"/>
      <c r="D73" s="51"/>
    </row>
    <row r="74" spans="1:4" ht="13.8" thickBot="1" x14ac:dyDescent="0.3">
      <c r="A74" s="3"/>
      <c r="B74" s="3"/>
      <c r="C74" s="11"/>
      <c r="D74" s="11"/>
    </row>
    <row r="75" spans="1:4" ht="13.8" thickBot="1" x14ac:dyDescent="0.3">
      <c r="A75" s="47" t="s">
        <v>22</v>
      </c>
      <c r="B75" s="47">
        <f>SUM(B60:B74)</f>
        <v>9</v>
      </c>
      <c r="C75" s="88" t="s">
        <v>27</v>
      </c>
      <c r="D75" s="48"/>
    </row>
    <row r="76" spans="1:4" ht="14.4" thickBot="1" x14ac:dyDescent="0.35">
      <c r="A76" s="49"/>
      <c r="B76" s="49"/>
      <c r="C76" s="49"/>
      <c r="D76" s="49"/>
    </row>
    <row r="77" spans="1:4" ht="18" thickBot="1" x14ac:dyDescent="0.3">
      <c r="A77" s="42" t="s">
        <v>14</v>
      </c>
      <c r="B77" s="43">
        <v>5</v>
      </c>
      <c r="C77" s="44" t="s">
        <v>23</v>
      </c>
      <c r="D77" s="53">
        <f>$D$58+7</f>
        <v>45560</v>
      </c>
    </row>
    <row r="78" spans="1:4" ht="23.4" thickBot="1" x14ac:dyDescent="0.3">
      <c r="A78" s="45" t="s">
        <v>3</v>
      </c>
      <c r="B78" s="46" t="s">
        <v>15</v>
      </c>
      <c r="C78" s="45" t="s">
        <v>7</v>
      </c>
      <c r="D78" s="45" t="s">
        <v>13</v>
      </c>
    </row>
    <row r="79" spans="1:4" x14ac:dyDescent="0.25">
      <c r="A79" s="89" t="s">
        <v>87</v>
      </c>
      <c r="B79" s="4">
        <v>6</v>
      </c>
      <c r="C79" s="91" t="s">
        <v>88</v>
      </c>
      <c r="D79" s="9"/>
    </row>
    <row r="80" spans="1:4" ht="39.6" x14ac:dyDescent="0.25">
      <c r="A80" s="90" t="s">
        <v>89</v>
      </c>
      <c r="B80" s="2">
        <v>3</v>
      </c>
      <c r="C80" s="92" t="s">
        <v>90</v>
      </c>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0"/>
      <c r="B91" s="50"/>
      <c r="C91" s="51"/>
      <c r="D91" s="51"/>
    </row>
    <row r="92" spans="1:4" x14ac:dyDescent="0.25">
      <c r="A92" s="50"/>
      <c r="B92" s="50"/>
      <c r="C92" s="51"/>
      <c r="D92" s="51"/>
    </row>
    <row r="93" spans="1:4" ht="13.8" thickBot="1" x14ac:dyDescent="0.3">
      <c r="A93" s="3"/>
      <c r="B93" s="3"/>
      <c r="C93" s="11"/>
      <c r="D93" s="11"/>
    </row>
    <row r="94" spans="1:4" ht="13.8" thickBot="1" x14ac:dyDescent="0.3">
      <c r="A94" s="47" t="s">
        <v>22</v>
      </c>
      <c r="B94" s="47">
        <f>SUM(B79:B93)</f>
        <v>9</v>
      </c>
      <c r="C94" s="88" t="s">
        <v>27</v>
      </c>
      <c r="D94" s="48"/>
    </row>
    <row r="95" spans="1:4" ht="14.4" thickBot="1" x14ac:dyDescent="0.35">
      <c r="A95" s="49"/>
      <c r="B95" s="49"/>
      <c r="C95" s="49"/>
      <c r="D95" s="49"/>
    </row>
    <row r="96" spans="1:4" ht="18" thickBot="1" x14ac:dyDescent="0.3">
      <c r="A96" s="42" t="s">
        <v>14</v>
      </c>
      <c r="B96" s="43">
        <v>6</v>
      </c>
      <c r="C96" s="44" t="s">
        <v>23</v>
      </c>
      <c r="D96" s="53">
        <f>$D$77+7</f>
        <v>45567</v>
      </c>
    </row>
    <row r="97" spans="1:4" ht="23.4" thickBot="1" x14ac:dyDescent="0.3">
      <c r="A97" s="45" t="s">
        <v>3</v>
      </c>
      <c r="B97" s="46" t="s">
        <v>15</v>
      </c>
      <c r="C97" s="45" t="s">
        <v>7</v>
      </c>
      <c r="D97" s="45" t="s">
        <v>13</v>
      </c>
    </row>
    <row r="98" spans="1:4" x14ac:dyDescent="0.25">
      <c r="A98" s="89" t="s">
        <v>93</v>
      </c>
      <c r="B98" s="4">
        <v>2</v>
      </c>
      <c r="C98" s="91" t="s">
        <v>94</v>
      </c>
      <c r="D98" s="91" t="s">
        <v>92</v>
      </c>
    </row>
    <row r="99" spans="1:4" x14ac:dyDescent="0.25">
      <c r="A99" s="90" t="s">
        <v>89</v>
      </c>
      <c r="B99" s="2">
        <v>2</v>
      </c>
      <c r="C99" s="92" t="s">
        <v>95</v>
      </c>
      <c r="D99" s="10"/>
    </row>
    <row r="100" spans="1:4" ht="26.4" x14ac:dyDescent="0.25">
      <c r="A100" s="90" t="s">
        <v>45</v>
      </c>
      <c r="B100" s="2">
        <v>5</v>
      </c>
      <c r="C100" s="92" t="s">
        <v>96</v>
      </c>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0"/>
      <c r="B110" s="50"/>
      <c r="C110" s="51"/>
      <c r="D110" s="51"/>
    </row>
    <row r="111" spans="1:4" x14ac:dyDescent="0.25">
      <c r="A111" s="50"/>
      <c r="B111" s="50"/>
      <c r="C111" s="51"/>
      <c r="D111" s="51"/>
    </row>
    <row r="112" spans="1:4" ht="13.8" thickBot="1" x14ac:dyDescent="0.3">
      <c r="A112" s="3"/>
      <c r="B112" s="3"/>
      <c r="C112" s="11"/>
      <c r="D112" s="11"/>
    </row>
    <row r="113" spans="1:4" ht="13.8" thickBot="1" x14ac:dyDescent="0.3">
      <c r="A113" s="47" t="s">
        <v>22</v>
      </c>
      <c r="B113" s="47">
        <f>SUM(B98:B112)</f>
        <v>9</v>
      </c>
      <c r="C113" s="88" t="s">
        <v>27</v>
      </c>
      <c r="D113" s="48"/>
    </row>
    <row r="114" spans="1:4" ht="14.4" thickBot="1" x14ac:dyDescent="0.35">
      <c r="A114" s="49"/>
      <c r="B114" s="49"/>
      <c r="C114" s="49"/>
      <c r="D114" s="49"/>
    </row>
    <row r="115" spans="1:4" ht="18" thickBot="1" x14ac:dyDescent="0.3">
      <c r="A115" s="42" t="s">
        <v>14</v>
      </c>
      <c r="B115" s="43">
        <v>7</v>
      </c>
      <c r="C115" s="44" t="s">
        <v>23</v>
      </c>
      <c r="D115" s="53">
        <f>$D$96+7</f>
        <v>45574</v>
      </c>
    </row>
    <row r="116" spans="1:4" ht="23.4" thickBot="1" x14ac:dyDescent="0.3">
      <c r="A116" s="45" t="s">
        <v>3</v>
      </c>
      <c r="B116" s="46" t="s">
        <v>15</v>
      </c>
      <c r="C116" s="45" t="s">
        <v>7</v>
      </c>
      <c r="D116" s="45" t="s">
        <v>13</v>
      </c>
    </row>
    <row r="117" spans="1:4" ht="39.6" x14ac:dyDescent="0.25">
      <c r="A117" s="89" t="s">
        <v>93</v>
      </c>
      <c r="B117" s="4">
        <v>2</v>
      </c>
      <c r="C117" s="91" t="s">
        <v>97</v>
      </c>
      <c r="D117" s="9"/>
    </row>
    <row r="118" spans="1:4" ht="39.6" x14ac:dyDescent="0.25">
      <c r="A118" s="90" t="s">
        <v>45</v>
      </c>
      <c r="B118" s="2">
        <v>7</v>
      </c>
      <c r="C118" s="92" t="s">
        <v>98</v>
      </c>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0"/>
      <c r="B129" s="50"/>
      <c r="C129" s="51"/>
      <c r="D129" s="51"/>
    </row>
    <row r="130" spans="1:4" x14ac:dyDescent="0.25">
      <c r="A130" s="50"/>
      <c r="B130" s="50"/>
      <c r="C130" s="51"/>
      <c r="D130" s="51"/>
    </row>
    <row r="131" spans="1:4" ht="13.8" thickBot="1" x14ac:dyDescent="0.3">
      <c r="A131" s="3"/>
      <c r="B131" s="3"/>
      <c r="C131" s="11"/>
      <c r="D131" s="11"/>
    </row>
    <row r="132" spans="1:4" ht="13.8" thickBot="1" x14ac:dyDescent="0.3">
      <c r="A132" s="47" t="s">
        <v>22</v>
      </c>
      <c r="B132" s="47">
        <f>SUM(B117:B131)</f>
        <v>9</v>
      </c>
      <c r="C132" s="88" t="s">
        <v>27</v>
      </c>
      <c r="D132" s="48"/>
    </row>
    <row r="133" spans="1:4" ht="14.4" thickBot="1" x14ac:dyDescent="0.35">
      <c r="A133" s="49"/>
      <c r="B133" s="49"/>
      <c r="C133" s="49"/>
      <c r="D133" s="49"/>
    </row>
    <row r="134" spans="1:4" ht="18" thickBot="1" x14ac:dyDescent="0.3">
      <c r="A134" s="42" t="s">
        <v>14</v>
      </c>
      <c r="B134" s="43">
        <v>8</v>
      </c>
      <c r="C134" s="44" t="s">
        <v>23</v>
      </c>
      <c r="D134" s="53">
        <f>$D$115+7</f>
        <v>45581</v>
      </c>
    </row>
    <row r="135" spans="1:4" ht="23.4" thickBot="1" x14ac:dyDescent="0.3">
      <c r="A135" s="45" t="s">
        <v>3</v>
      </c>
      <c r="B135" s="46" t="s">
        <v>15</v>
      </c>
      <c r="C135" s="45" t="s">
        <v>7</v>
      </c>
      <c r="D135" s="45"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0"/>
      <c r="B148" s="50"/>
      <c r="C148" s="51"/>
      <c r="D148" s="51"/>
    </row>
    <row r="149" spans="1:4" x14ac:dyDescent="0.25">
      <c r="A149" s="50"/>
      <c r="B149" s="50"/>
      <c r="C149" s="51"/>
      <c r="D149" s="51"/>
    </row>
    <row r="150" spans="1:4" ht="13.8" thickBot="1" x14ac:dyDescent="0.3">
      <c r="A150" s="3"/>
      <c r="B150" s="3"/>
      <c r="C150" s="11"/>
      <c r="D150" s="11"/>
    </row>
    <row r="151" spans="1:4" ht="13.8" thickBot="1" x14ac:dyDescent="0.3">
      <c r="A151" s="47" t="s">
        <v>22</v>
      </c>
      <c r="B151" s="47">
        <f>SUM(B136:B150)</f>
        <v>0</v>
      </c>
      <c r="C151" s="88" t="s">
        <v>27</v>
      </c>
      <c r="D151" s="48"/>
    </row>
    <row r="152" spans="1:4" ht="13.8" x14ac:dyDescent="0.3">
      <c r="A152" s="49"/>
      <c r="B152" s="49"/>
      <c r="C152" s="49"/>
      <c r="D152" s="49"/>
    </row>
    <row r="153" spans="1:4" x14ac:dyDescent="0.25">
      <c r="A153" s="87"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9EFC2F16-3938-4C50-8CC7-D1492627846A}">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C36DD1F1-940A-4BCE-8744-2126CD9AB5F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5DBE85C5-3154-4D91-A6E2-56866B486368}">
      <formula1>0</formula1>
      <formula2>NbPerWeek * NbQuartPer</formula2>
    </dataValidation>
    <dataValidation type="list" allowBlank="1" showInputMessage="1" showErrorMessage="1" sqref="A3:A17 A22:A36 A41:A55 A60:A74 A79:A93 A98:A112 A117:A131 A136:A150" xr:uid="{B6D6194F-F74F-4D1B-9846-54206FAEF078}">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0961" r:id="rId4" name="btnImportRealisation">
          <controlPr defaultSize="0" autoLine="0" r:id="rId5">
            <anchor moveWithCells="1">
              <from>
                <xdr:col>4</xdr:col>
                <xdr:colOff>594360</xdr:colOff>
                <xdr:row>0</xdr:row>
                <xdr:rowOff>182880</xdr:rowOff>
              </from>
              <to>
                <xdr:col>7</xdr:col>
                <xdr:colOff>190500</xdr:colOff>
                <xdr:row>2</xdr:row>
                <xdr:rowOff>220980</xdr:rowOff>
              </to>
            </anchor>
          </controlPr>
        </control>
      </mc:Choice>
      <mc:Fallback>
        <control shapeId="40961"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11</vt:i4>
      </vt:variant>
    </vt:vector>
  </HeadingPairs>
  <TitlesOfParts>
    <vt:vector size="18" baseType="lpstr">
      <vt:lpstr>Donnees</vt:lpstr>
      <vt:lpstr>DiagramHeader</vt:lpstr>
      <vt:lpstr>DiagramFooter</vt:lpstr>
      <vt:lpstr>PlanificationWeek</vt:lpstr>
      <vt:lpstr>Planning</vt:lpstr>
      <vt:lpstr>achievementWeek</vt:lpstr>
      <vt:lpstr>JNLTRAV</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Gonzalo Javier Herrera Egoavil</dc:creator>
  <cp:lastModifiedBy>Gonzalo Javier Herrera Egoavil</cp:lastModifiedBy>
  <cp:lastPrinted>2013-08-29T11:33:15Z</cp:lastPrinted>
  <dcterms:created xsi:type="dcterms:W3CDTF">1996-10-21T11:03:58Z</dcterms:created>
  <dcterms:modified xsi:type="dcterms:W3CDTF">2024-10-25T15:02:32Z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