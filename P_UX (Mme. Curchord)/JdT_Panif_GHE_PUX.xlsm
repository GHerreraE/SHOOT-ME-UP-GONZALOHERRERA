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UX (Mme. Curchord)\"/>
    </mc:Choice>
  </mc:AlternateContent>
  <xr:revisionPtr revIDLastSave="0" documentId="13_ncr:1_{3883E2F3-B311-42A4-9B5B-5A57EAE9CC73}" xr6:coauthVersionLast="47" xr6:coauthVersionMax="47" xr10:uidLastSave="{00000000-0000-0000-0000-000000000000}"/>
  <bookViews>
    <workbookView xWindow="2868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<sst xmlns="http://schemas.openxmlformats.org/spreadsheetml/2006/main" count="265" uniqueCount="94">
  <si>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</si>
  <si>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</si>
  <si>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</si>
  <si>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</si>
  <si>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</si>
  <si>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</si>
  <si>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</si>
  <si>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</si>
  <si>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</si>
  <si>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</si>
  <si>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</si>
  <si>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</si>
  <si>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</si>
  <si>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</si>
  <si>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</si>
  <si>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</si>
  <si>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</si>
  <si>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</si>
  <si>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</si>
  <si>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</si>
  <si>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</si>
  <si>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</si>
  <si>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</si>
  <si>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</si>
  <si>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Gonzalo Javier Herrera Egoavil</t>
  </si>
  <si>
    <t>CID2B</t>
  </si>
  <si>
    <t>Vennes - Lausanne</t>
  </si>
  <si>
    <t>Max. 9</t>
  </si>
  <si>
    <t>STOP</t>
  </si>
  <si>
    <t>Journal de travail</t>
  </si>
  <si>
    <t>Cahier de charges</t>
  </si>
  <si>
    <t>Figma</t>
  </si>
  <si>
    <t>Introduction du module, bien comprendre de ce qu'il s'agit ce projet.</t>
  </si>
  <si>
    <t>Manipuler Figma, introduction</t>
  </si>
  <si>
    <t>Lire le cahier de charges</t>
  </si>
  <si>
    <t>Introduction</t>
  </si>
  <si>
    <t>Site web</t>
  </si>
  <si>
    <t>Théorie</t>
  </si>
  <si>
    <t>Figma a été et sera notre outil de travail pour ce module et projet. On a fait des maquettes d'un login d'un site web. Une evaluation en groupe était mise en place.</t>
  </si>
  <si>
    <t xml:space="preserve">Planning </t>
  </si>
  <si>
    <t>Rapport</t>
  </si>
  <si>
    <t>Faire le planning de la semaine 1 et aussi le planning des semaines restantes.</t>
  </si>
  <si>
    <t>Faire le journal de travail de la semaine 1 et 2.</t>
  </si>
  <si>
    <t>Travailler sur Figma et faire des Users Personalitys avec l'aide de chatgpt.</t>
  </si>
  <si>
    <t>Finir avec les maquettes users.</t>
  </si>
  <si>
    <t>Faire une maquete du menu principal</t>
  </si>
  <si>
    <t>Faire une deuxieme maquete avec les niveaux de diffultes du jeu</t>
  </si>
  <si>
    <t>Faire une trosième maquette pour l'editeur de niveau et high scores</t>
  </si>
  <si>
    <t>Completer le rapport avec les données obtenus pour l'instant.</t>
  </si>
  <si>
    <t>Completer le journal de travail de la semaine 3 et aussi de cette semaine 4</t>
  </si>
  <si>
    <t>Faire des versions haute-fidelité pour avoir une reference de notre travail final.</t>
  </si>
  <si>
    <t>Faire le choix des couleurs pour le jeu</t>
  </si>
  <si>
    <t>Completer le journal de travail avec le travail fait durant la journée.</t>
  </si>
  <si>
    <t>Completer le rapport et à voir si on a le temps de ajouter des nouvelles chapitres.</t>
  </si>
  <si>
    <t>Dernières améliorations, petittes retouches pour la bonne definition de notre travail finale.</t>
  </si>
  <si>
    <t>Ajouter des chapitres de conception, d'évaluation et analyse de L'UX</t>
  </si>
  <si>
    <t>Ajouter dans le journal le travail fait durant la journée.</t>
  </si>
  <si>
    <t>Faire des améliorations si on a recu notre évaluation de 50%. Faire des corrections de fautes et aussi faire atention avec le mise en page. (Dernière retouche)</t>
  </si>
  <si>
    <t>Amélioration de vocabulaire et retouches finales. Ajouter des liens de references si c'est posible.</t>
  </si>
  <si>
    <t>Verification</t>
  </si>
  <si>
    <t>Github</t>
  </si>
  <si>
    <t>Vérification de mon dossier, vérifier si tout est bien sauvegarder et les transformer en PDF pour le rendu finale. Prendre en compte la quantité de fichiers à rendre.</t>
  </si>
  <si>
    <t>Vérification des releases, comit y push. Verifier si toutes les semaines on été bien comits.</t>
  </si>
  <si>
    <t>Rendu finale par teams ou message de github.</t>
  </si>
  <si>
    <t>J'ai fait le planning de toutes les semaines.</t>
  </si>
  <si>
    <t>Personas</t>
  </si>
  <si>
    <t>CHATGPT</t>
  </si>
  <si>
    <t>Palette de couleur</t>
  </si>
  <si>
    <t>J'ai pris le site de "Adobe Color" à fin de pouvoir choisir une palette de couleurs pour mon projet.</t>
  </si>
  <si>
    <t>Maquette BF</t>
  </si>
  <si>
    <t>Maquette HF</t>
  </si>
  <si>
    <t>J'ai commencé à faire la maquette de haute fidelité, pour l'instant je commence avec l'éditeur de niveau puisque c'est demandé en prémier, après je voudrais faire le reste d'écrans.</t>
  </si>
  <si>
    <t>Adobe Color</t>
  </si>
  <si>
    <t>Adobe color</t>
  </si>
  <si>
    <t>J'ai fait un changement sur ma palette de couleur</t>
  </si>
  <si>
    <t>J'ai modifie les couleurs</t>
  </si>
  <si>
    <t>Modification et mise en place des nouvelles photos des wireframes. J'ai commencé à developper la partie Eco-Conception.</t>
  </si>
  <si>
    <t>On a fait de la théorie comme introduction du sujet. Le projet n'a pas été démarré cette semaine.</t>
  </si>
  <si>
    <t>Planning</t>
  </si>
  <si>
    <t>Rendre projet</t>
  </si>
  <si>
    <t>Partie de l'introduction, accéder à un site web qui était mal fait. Une évaluation rétrospective a été faite puisqu'on parlait de l'importance de l'expérience de l'utilisateur.</t>
  </si>
  <si>
    <t>Un peu de théorie pour continuer l'importance de prévoir une bonne expérience de l'utilisateur avec un produit et/ou service.</t>
  </si>
  <si>
    <t>On a reçu un peu de théorie et explications par rapport au projet.</t>
  </si>
  <si>
    <t>J'ai complété le journal de travail de cette semaine et aussi de la première semaine.</t>
  </si>
  <si>
    <t xml:space="preserve">J'ai avancé avec le wireframe de basse-fidelité, j'ai fait le menu principale, l'écran du jeu, le score, et la page à propos. </t>
  </si>
  <si>
    <t>J'ai avancé mon journal de travail.</t>
  </si>
  <si>
    <t>J'ai du de recommencer mes maquettes puisque je suis rendu compte que faire le projet avec WindosForm serait compliqué, alors je dois refaire tout en version console. Je n'ai pas fini la maquette de bas-qualité.</t>
  </si>
  <si>
    <t>J'ai pris un modèle de base sur Figma et j'ai fait deux personas à l'aide des données de ChatGPT.</t>
  </si>
  <si>
    <t xml:space="preserve">J'ai fait mes wireframes du chaque écran du jeux en bas fidelité. </t>
  </si>
  <si>
    <t>J'ai choisi un autre type de palette de couleur, car je me suis rendu compte que la palette que j'avais choisie la semaine passée n'était pas une qui fait contraste avec mon jeu, alors j'ai essayé de changer plusieurs fois aussi pour choisir un type de palette de couleur.</t>
  </si>
  <si>
    <t>J'ai changé le rapport plusieurs fois puisque la palette de couleur n'était pas la bonne et j'ai commencé à développer la partie de choix effectués et les fonctionnalités supplémentaires.</t>
  </si>
  <si>
    <t>J'ai fait des corrections dans mon journal de travail au meme temps que les maquettes de haute fidelité et les maquettes de fonctionnalitées.</t>
  </si>
  <si>
    <t>J'ai fait des corrections de grammaire dans cette journal de travail et planification.</t>
  </si>
  <si>
    <t>J'ai fait une nouvelle maquette pour ajouter une nouvelle fonctionnalitée que m'interese et c'est le choix de langue avec lequel l'utilisateurs peut jouer.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</si>
</sst>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style="medium">
        <color indexed="64"/>
      </right>
      <top style="dashed">
        <color indexed="64"/>
      </top>
      <bottom style="dashed">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dashed">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8" fillId="0" borderId="34" xfId="0" applyFont="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0" fillId="0" borderId="33" xfId="0" applyFont="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8" fillId="0" borderId="35" xfId="0" applyFont="1" applyBorder="1" applyAlignment="1" applyProtection="1">
      <alignment horizontal="center" vertical="center" wrapText="1"/>
      <protection locked="0"/>
    </xf>
    <xf numFmtId="0" fontId="0" fillId="0" borderId="35" xfId="0" applyFont="1" applyBorder="1" applyAlignment="1" applyProtection="1">
      <alignment horizontal="left" vertical="top" wrapText="1"/>
      <protection locked="0"/>
    </xf>
    <xf numFmtId="0" fontId="8" fillId="0" borderId="35" xfId="1" applyFont="1" applyFill="1" applyBorder="1" applyAlignment="1" applyProtection="1">
      <alignment horizontal="center" vertical="center" wrapText="1"/>
      <protection locked="0"/>
    </xf>
    <xf numFmtId="0" fontId="8" fillId="0" borderId="36" xfId="1" applyFont="1" applyFill="1" applyBorder="1" applyAlignment="1" applyProtection="1">
      <alignment horizontal="center" vertical="center" wrapText="1"/>
      <protection locked="0"/>
    </xf>
    <xf numFmtId="0" fontId="8" fillId="0" borderId="36" xfId="0" applyFont="1" applyBorder="1" applyAlignment="1" applyProtection="1">
      <alignment horizontal="center" vertical="center" wrapText="1"/>
      <protection locked="0"/>
    </xf>
    <xf numFmtId="0" fontId="8" fillId="0" borderId="36" xfId="0" applyFont="1" applyBorder="1" applyAlignment="1" applyProtection="1">
      <alignment horizontal="left" vertical="top" wrapText="1"/>
      <protection locked="0"/>
    </xf>
    <xf numFmtId="0" fontId="0" fillId="9" borderId="35"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28575</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57150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66675</xdr:colOff>
          <xdr:row>10</xdr:row>
          <xdr:rowOff>133350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2</xdr:row>
          <xdr:rowOff>219075</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10" zoomScale="85" zoomScaleNormal="100" zoomScaleSheetLayoutView="85" workbookViewId="0">
      <selection activeCell="F26" sqref="F26"/>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v>322</v>
      </c>
      <c r="D3" s="59"/>
      <c r="E3" s="59"/>
      <c r="F3" s="59"/>
      <c r="G3" s="60"/>
    </row>
    <row r="4" spans="1:7" ht="20.25" x14ac:dyDescent="0.25">
      <c r="A4" s="58"/>
      <c r="B4" s="63" t="s">
        <v>4</v>
      </c>
      <c r="C4" s="64" t="s">
        <v>24</v>
      </c>
      <c r="D4" s="59"/>
      <c r="E4" s="59"/>
      <c r="F4" s="59"/>
      <c r="G4" s="60"/>
    </row>
    <row r="5" spans="1:7" ht="20.25" x14ac:dyDescent="0.25">
      <c r="A5" s="58"/>
      <c r="B5" s="63" t="s">
        <v>1</v>
      </c>
      <c r="C5" s="64" t="s">
        <v>25</v>
      </c>
      <c r="D5" s="59"/>
      <c r="E5" s="59"/>
      <c r="F5" s="59"/>
      <c r="G5" s="60"/>
    </row>
    <row r="6" spans="1:7" ht="21" thickBot="1" x14ac:dyDescent="0.3">
      <c r="A6" s="58"/>
      <c r="B6" s="65" t="s">
        <v>2</v>
      </c>
      <c r="C6" s="66" t="s">
        <v>26</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9</v>
      </c>
      <c r="C9" s="67">
        <v>45532</v>
      </c>
      <c r="D9" s="59"/>
      <c r="E9" s="59"/>
      <c r="F9" s="59"/>
      <c r="G9" s="60"/>
    </row>
    <row r="10" spans="1:7" ht="20.25" x14ac:dyDescent="0.25">
      <c r="A10" s="58"/>
      <c r="B10" s="68" t="s">
        <v>8</v>
      </c>
      <c r="C10" s="69">
        <v>45597</v>
      </c>
      <c r="D10" s="59"/>
      <c r="E10" s="59"/>
      <c r="F10" s="59"/>
      <c r="G10" s="60"/>
    </row>
    <row r="11" spans="1:7" ht="20.25" x14ac:dyDescent="0.25">
      <c r="A11" s="58"/>
      <c r="B11" s="68" t="s">
        <v>10</v>
      </c>
      <c r="C11" s="70">
        <v>8</v>
      </c>
      <c r="D11" s="59"/>
      <c r="E11" s="59"/>
      <c r="F11" s="59"/>
      <c r="G11" s="60"/>
    </row>
    <row r="12" spans="1:7" ht="20.25" x14ac:dyDescent="0.25">
      <c r="A12" s="58"/>
      <c r="B12" s="63" t="s">
        <v>11</v>
      </c>
      <c r="C12" s="71">
        <v>3</v>
      </c>
      <c r="D12" s="59"/>
      <c r="E12" s="59"/>
      <c r="F12" s="59"/>
      <c r="G12" s="60"/>
    </row>
    <row r="13" spans="1:7" ht="20.25" x14ac:dyDescent="0.25">
      <c r="A13" s="58"/>
      <c r="B13" s="63" t="s">
        <v>12</v>
      </c>
      <c r="C13" s="71">
        <v>3</v>
      </c>
      <c r="D13" s="59"/>
      <c r="E13" s="59"/>
      <c r="F13" s="59"/>
      <c r="G13" s="60"/>
    </row>
    <row r="14" spans="1:7" ht="20.25" thickBot="1" x14ac:dyDescent="0.3">
      <c r="A14" s="58"/>
      <c r="B14" s="72"/>
      <c r="C14" s="73" t="s">
        <v>6</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93" t="s">
        <v>19</v>
      </c>
      <c r="C19" s="94"/>
      <c r="D19" s="59"/>
      <c r="E19" s="59"/>
      <c r="F19" s="59"/>
      <c r="G19" s="60"/>
    </row>
    <row r="20" spans="1:7" ht="20.25" x14ac:dyDescent="0.25">
      <c r="A20" s="78"/>
      <c r="B20" s="79" t="s">
        <v>20</v>
      </c>
      <c r="C20" s="80" t="s">
        <v>21</v>
      </c>
      <c r="D20" s="59"/>
      <c r="E20" s="59"/>
      <c r="F20" s="59"/>
      <c r="G20" s="60"/>
    </row>
    <row r="21" spans="1:7" ht="20.25" x14ac:dyDescent="0.25">
      <c r="A21" s="78"/>
      <c r="B21" s="79">
        <v>1</v>
      </c>
      <c r="C21" s="69" t="s">
        <v>35</v>
      </c>
      <c r="D21" s="59"/>
      <c r="E21" s="59"/>
      <c r="F21" s="59"/>
      <c r="G21" s="60"/>
    </row>
    <row r="22" spans="1:7" ht="20.25" x14ac:dyDescent="0.25">
      <c r="A22" s="78"/>
      <c r="B22" s="79">
        <v>2</v>
      </c>
      <c r="C22" s="70" t="s">
        <v>37</v>
      </c>
      <c r="D22" s="59"/>
      <c r="E22" s="59"/>
      <c r="F22" s="59"/>
      <c r="G22" s="60"/>
    </row>
    <row r="23" spans="1:7" ht="20.25" x14ac:dyDescent="0.25">
      <c r="A23" s="78"/>
      <c r="B23" s="81">
        <v>3</v>
      </c>
      <c r="C23" s="70" t="s">
        <v>31</v>
      </c>
      <c r="D23" s="59"/>
      <c r="E23" s="59"/>
      <c r="F23" s="59"/>
      <c r="G23" s="60"/>
    </row>
    <row r="24" spans="1:7" ht="20.25" x14ac:dyDescent="0.25">
      <c r="A24" s="78"/>
      <c r="B24" s="79">
        <v>4</v>
      </c>
      <c r="C24" s="70" t="s">
        <v>78</v>
      </c>
      <c r="D24" s="59"/>
      <c r="E24" s="59"/>
      <c r="F24" s="59"/>
      <c r="G24" s="60"/>
    </row>
    <row r="25" spans="1:7" ht="20.25" x14ac:dyDescent="0.25">
      <c r="A25" s="78"/>
      <c r="B25" s="79">
        <v>5</v>
      </c>
      <c r="C25" s="70" t="s">
        <v>29</v>
      </c>
      <c r="D25" s="59"/>
      <c r="E25" s="59"/>
      <c r="F25" s="59"/>
      <c r="G25" s="60"/>
    </row>
    <row r="26" spans="1:7" ht="20.25" x14ac:dyDescent="0.25">
      <c r="A26" s="78"/>
      <c r="B26" s="81">
        <v>6</v>
      </c>
      <c r="C26" s="70" t="s">
        <v>65</v>
      </c>
      <c r="D26" s="59"/>
      <c r="E26" s="59"/>
      <c r="F26" s="59"/>
      <c r="G26" s="60"/>
    </row>
    <row r="27" spans="1:7" ht="20.25" x14ac:dyDescent="0.25">
      <c r="A27" s="78"/>
      <c r="B27" s="79">
        <v>7</v>
      </c>
      <c r="C27" s="70" t="s">
        <v>67</v>
      </c>
      <c r="D27" s="59"/>
      <c r="E27" s="59"/>
      <c r="F27" s="59"/>
      <c r="G27" s="60"/>
    </row>
    <row r="28" spans="1:7" ht="20.25" x14ac:dyDescent="0.25">
      <c r="A28" s="78"/>
      <c r="B28" s="79">
        <v>8</v>
      </c>
      <c r="C28" s="71" t="s">
        <v>69</v>
      </c>
      <c r="D28" s="59"/>
      <c r="E28" s="59"/>
      <c r="F28" s="59"/>
      <c r="G28" s="60"/>
    </row>
    <row r="29" spans="1:7" ht="20.25" x14ac:dyDescent="0.25">
      <c r="A29" s="78"/>
      <c r="B29" s="81">
        <v>9</v>
      </c>
      <c r="C29" s="71" t="s">
        <v>70</v>
      </c>
      <c r="D29" s="59"/>
      <c r="E29" s="59"/>
      <c r="F29" s="59"/>
      <c r="G29" s="60"/>
    </row>
    <row r="30" spans="1:7" ht="20.25" x14ac:dyDescent="0.25">
      <c r="A30" s="78"/>
      <c r="B30" s="79">
        <v>10</v>
      </c>
      <c r="C30" s="70" t="s">
        <v>40</v>
      </c>
      <c r="D30" s="59"/>
      <c r="E30" s="59"/>
      <c r="F30" s="59"/>
      <c r="G30" s="60"/>
    </row>
    <row r="31" spans="1:7" ht="20.25" x14ac:dyDescent="0.25">
      <c r="A31" s="78"/>
      <c r="B31" s="79">
        <v>11</v>
      </c>
      <c r="C31" s="70" t="s">
        <v>30</v>
      </c>
      <c r="D31" s="59"/>
      <c r="E31" s="59"/>
      <c r="F31" s="59"/>
      <c r="G31" s="60"/>
    </row>
    <row r="32" spans="1:7" ht="20.25" x14ac:dyDescent="0.25">
      <c r="A32" s="78"/>
      <c r="B32" s="81">
        <v>12</v>
      </c>
      <c r="C32" s="70" t="s">
        <v>59</v>
      </c>
      <c r="D32" s="59"/>
      <c r="E32" s="59"/>
      <c r="F32" s="59"/>
      <c r="G32" s="60"/>
    </row>
    <row r="33" spans="1:7" ht="20.25" x14ac:dyDescent="0.25">
      <c r="A33" s="78"/>
      <c r="B33" s="79">
        <v>13</v>
      </c>
      <c r="C33" s="70" t="s">
        <v>60</v>
      </c>
      <c r="D33" s="59"/>
      <c r="E33" s="59"/>
      <c r="F33" s="59"/>
      <c r="G33" s="60"/>
    </row>
    <row r="34" spans="1:7" ht="20.25" x14ac:dyDescent="0.25">
      <c r="A34" s="78"/>
      <c r="B34" s="79">
        <v>14</v>
      </c>
      <c r="C34" s="71" t="s">
        <v>79</v>
      </c>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5</v>
      </c>
      <c r="C2" s="15" t="s">
        <v>18</v>
      </c>
    </row>
    <row r="3" spans="1:4" ht="19.5" customHeight="1" x14ac:dyDescent="0.25">
      <c r="A3" s="19"/>
      <c r="B3" s="95" t="s">
        <v>21</v>
      </c>
      <c r="C3" s="16">
        <v>0</v>
      </c>
    </row>
    <row r="4" spans="1:4" ht="19.5" customHeight="1" x14ac:dyDescent="0.25">
      <c r="A4" s="19"/>
      <c r="B4" s="96"/>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14</v>
      </c>
      <c r="B1" s="7">
        <v>1</v>
      </c>
      <c r="C1" s="17"/>
      <c r="D1" s="85"/>
    </row>
    <row r="2" spans="1:4" ht="27.7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1393A-BB9D-4654-8BC4-F8BD430117F6}">
  <sheetPr codeName="Feuil5"/>
  <dimension ref="A1:H113"/>
  <sheetViews>
    <sheetView topLeftCell="A32" workbookViewId="0">
      <selection activeCell="C5" sqref="C5"/>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14</v>
      </c>
      <c r="B1" s="7">
        <v>1</v>
      </c>
      <c r="C1" s="17"/>
      <c r="D1" s="85"/>
    </row>
    <row r="2" spans="1:4" ht="27.75" thickBot="1" x14ac:dyDescent="0.3">
      <c r="A2" s="8" t="s">
        <v>3</v>
      </c>
      <c r="B2" s="18" t="s">
        <v>15</v>
      </c>
      <c r="C2" s="8" t="s">
        <v>7</v>
      </c>
      <c r="D2" s="8" t="s">
        <v>13</v>
      </c>
    </row>
    <row r="3" spans="1:4" s="52" customFormat="1" x14ac:dyDescent="0.25">
      <c r="A3" s="89" t="s">
        <v>35</v>
      </c>
      <c r="B3" s="4">
        <v>3</v>
      </c>
      <c r="C3" s="91" t="s">
        <v>32</v>
      </c>
      <c r="D3" s="9"/>
    </row>
    <row r="4" spans="1:4" s="52" customFormat="1" x14ac:dyDescent="0.25">
      <c r="A4" s="90" t="s">
        <v>31</v>
      </c>
      <c r="B4" s="2">
        <v>3</v>
      </c>
      <c r="C4" s="92" t="s">
        <v>33</v>
      </c>
      <c r="D4" s="10"/>
    </row>
    <row r="5" spans="1:4" s="52" customFormat="1" x14ac:dyDescent="0.25">
      <c r="A5" s="90" t="s">
        <v>30</v>
      </c>
      <c r="B5" s="2">
        <v>3</v>
      </c>
      <c r="C5" s="92" t="s">
        <v>34</v>
      </c>
      <c r="D5" s="10"/>
    </row>
    <row r="6" spans="1:4" s="52" customFormat="1" x14ac:dyDescent="0.25">
      <c r="A6" s="90"/>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9</v>
      </c>
      <c r="C13" s="86" t="s">
        <v>27</v>
      </c>
      <c r="D13" s="13"/>
    </row>
    <row r="14" spans="1:4" ht="15" thickBot="1" x14ac:dyDescent="0.35">
      <c r="A14" s="14"/>
      <c r="B14" s="14"/>
      <c r="C14" s="14"/>
      <c r="D14" s="14"/>
    </row>
    <row r="15" spans="1:4" ht="18.75" thickBot="1" x14ac:dyDescent="0.3">
      <c r="A15" s="6" t="s">
        <v>14</v>
      </c>
      <c r="B15" s="7">
        <v>2</v>
      </c>
      <c r="C15" s="17"/>
      <c r="D15" s="85"/>
    </row>
    <row r="16" spans="1:4" ht="27.75" thickBot="1" x14ac:dyDescent="0.3">
      <c r="A16" s="8" t="s">
        <v>3</v>
      </c>
      <c r="B16" s="18" t="s">
        <v>15</v>
      </c>
      <c r="C16" s="8" t="s">
        <v>7</v>
      </c>
      <c r="D16" s="8" t="s">
        <v>13</v>
      </c>
    </row>
    <row r="17" spans="1:8" x14ac:dyDescent="0.25">
      <c r="A17" s="89" t="s">
        <v>39</v>
      </c>
      <c r="B17" s="4">
        <v>4</v>
      </c>
      <c r="C17" s="91" t="s">
        <v>41</v>
      </c>
      <c r="D17" s="9"/>
    </row>
    <row r="18" spans="1:8" x14ac:dyDescent="0.25">
      <c r="A18" s="90" t="s">
        <v>29</v>
      </c>
      <c r="B18" s="2">
        <v>2</v>
      </c>
      <c r="C18" s="92" t="s">
        <v>42</v>
      </c>
      <c r="D18" s="10"/>
    </row>
    <row r="19" spans="1:8" x14ac:dyDescent="0.25">
      <c r="A19" s="90" t="s">
        <v>31</v>
      </c>
      <c r="B19" s="2">
        <v>3</v>
      </c>
      <c r="C19" s="92" t="s">
        <v>43</v>
      </c>
      <c r="D19" s="10"/>
    </row>
    <row r="20" spans="1:8" ht="12.75" customHeight="1" x14ac:dyDescent="0.25">
      <c r="A20" s="1"/>
      <c r="B20" s="2"/>
      <c r="C20" s="10"/>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22</v>
      </c>
      <c r="B27" s="12">
        <f>SUM(B17:B26)</f>
        <v>9</v>
      </c>
      <c r="C27" s="86" t="s">
        <v>27</v>
      </c>
      <c r="D27" s="13"/>
      <c r="F27" s="36"/>
      <c r="G27" s="37"/>
      <c r="H27" s="37"/>
    </row>
    <row r="28" spans="1:8" ht="15" thickBot="1" x14ac:dyDescent="0.35">
      <c r="A28" s="14"/>
      <c r="B28" s="14"/>
      <c r="C28" s="14"/>
      <c r="D28" s="14"/>
      <c r="F28" s="36"/>
      <c r="G28" s="37"/>
      <c r="H28" s="37"/>
    </row>
    <row r="29" spans="1:8" ht="18.75" thickBot="1" x14ac:dyDescent="0.3">
      <c r="A29" s="6" t="s">
        <v>14</v>
      </c>
      <c r="B29" s="7">
        <v>3</v>
      </c>
      <c r="C29" s="17"/>
      <c r="D29" s="85"/>
      <c r="F29" s="36"/>
      <c r="G29" s="37"/>
      <c r="H29" s="37"/>
    </row>
    <row r="30" spans="1:8" ht="27.75" thickBot="1" x14ac:dyDescent="0.3">
      <c r="A30" s="8" t="s">
        <v>3</v>
      </c>
      <c r="B30" s="18" t="s">
        <v>15</v>
      </c>
      <c r="C30" s="8" t="s">
        <v>7</v>
      </c>
      <c r="D30" s="8" t="s">
        <v>13</v>
      </c>
      <c r="F30" s="38"/>
      <c r="G30" s="39"/>
      <c r="H30" s="39"/>
    </row>
    <row r="31" spans="1:8" ht="14.25" x14ac:dyDescent="0.3">
      <c r="A31" s="89" t="s">
        <v>65</v>
      </c>
      <c r="B31" s="4">
        <v>2</v>
      </c>
      <c r="C31" s="91" t="s">
        <v>44</v>
      </c>
      <c r="D31" s="9"/>
      <c r="F31" s="40"/>
      <c r="G31" s="40"/>
      <c r="H31" s="40"/>
    </row>
    <row r="32" spans="1:8" x14ac:dyDescent="0.25">
      <c r="A32" s="90" t="s">
        <v>69</v>
      </c>
      <c r="B32" s="2">
        <v>4</v>
      </c>
      <c r="C32" s="92" t="s">
        <v>45</v>
      </c>
      <c r="D32" s="10"/>
    </row>
    <row r="33" spans="1:4" x14ac:dyDescent="0.25">
      <c r="A33" s="90" t="s">
        <v>70</v>
      </c>
      <c r="B33" s="2">
        <v>3</v>
      </c>
      <c r="C33" s="92" t="s">
        <v>46</v>
      </c>
      <c r="D33" s="10"/>
    </row>
    <row r="34" spans="1:4" x14ac:dyDescent="0.25">
      <c r="A34" s="90"/>
      <c r="B34" s="2"/>
      <c r="C34" s="10"/>
      <c r="D34" s="10"/>
    </row>
    <row r="35" spans="1:4" x14ac:dyDescent="0.25">
      <c r="A35" s="90"/>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22</v>
      </c>
      <c r="B41" s="12">
        <f>SUM(B31:B40)</f>
        <v>9</v>
      </c>
      <c r="C41" s="86" t="s">
        <v>27</v>
      </c>
      <c r="D41" s="13"/>
    </row>
    <row r="42" spans="1:4" ht="15" thickBot="1" x14ac:dyDescent="0.35">
      <c r="A42" s="14"/>
      <c r="B42" s="14"/>
      <c r="C42" s="14"/>
      <c r="D42" s="14"/>
    </row>
    <row r="43" spans="1:4" ht="18.75" thickBot="1" x14ac:dyDescent="0.3">
      <c r="A43" s="6" t="s">
        <v>14</v>
      </c>
      <c r="B43" s="7">
        <v>4</v>
      </c>
      <c r="C43" s="17"/>
      <c r="D43" s="85"/>
    </row>
    <row r="44" spans="1:4" ht="27.75" thickBot="1" x14ac:dyDescent="0.3">
      <c r="A44" s="8" t="s">
        <v>3</v>
      </c>
      <c r="B44" s="18" t="s">
        <v>15</v>
      </c>
      <c r="C44" s="8" t="s">
        <v>7</v>
      </c>
      <c r="D44" s="8" t="s">
        <v>13</v>
      </c>
    </row>
    <row r="45" spans="1:4" x14ac:dyDescent="0.25">
      <c r="A45" s="89" t="s">
        <v>70</v>
      </c>
      <c r="B45" s="4">
        <v>5</v>
      </c>
      <c r="C45" s="91" t="s">
        <v>47</v>
      </c>
      <c r="D45" s="9"/>
    </row>
    <row r="46" spans="1:4" x14ac:dyDescent="0.25">
      <c r="A46" s="90" t="s">
        <v>40</v>
      </c>
      <c r="B46" s="2">
        <v>2</v>
      </c>
      <c r="C46" s="92" t="s">
        <v>48</v>
      </c>
      <c r="D46" s="10"/>
    </row>
    <row r="47" spans="1:4" x14ac:dyDescent="0.25">
      <c r="A47" s="90" t="s">
        <v>29</v>
      </c>
      <c r="B47" s="2">
        <v>2</v>
      </c>
      <c r="C47" s="92" t="s">
        <v>49</v>
      </c>
      <c r="D47" s="10"/>
    </row>
    <row r="48" spans="1:4"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9</v>
      </c>
      <c r="C55" s="86" t="s">
        <v>27</v>
      </c>
      <c r="D55" s="13"/>
    </row>
    <row r="56" spans="1:4" ht="15" thickBot="1" x14ac:dyDescent="0.35">
      <c r="A56" s="14"/>
      <c r="B56" s="14"/>
      <c r="C56" s="14"/>
      <c r="D56" s="14"/>
    </row>
    <row r="57" spans="1:4" ht="18.75" thickBot="1" x14ac:dyDescent="0.3">
      <c r="A57" s="6" t="s">
        <v>14</v>
      </c>
      <c r="B57" s="7">
        <v>5</v>
      </c>
      <c r="C57" s="17"/>
      <c r="D57" s="85"/>
    </row>
    <row r="58" spans="1:4" ht="27.75" thickBot="1" x14ac:dyDescent="0.3">
      <c r="A58" s="8" t="s">
        <v>3</v>
      </c>
      <c r="B58" s="18" t="s">
        <v>15</v>
      </c>
      <c r="C58" s="8" t="s">
        <v>7</v>
      </c>
      <c r="D58" s="8" t="s">
        <v>13</v>
      </c>
    </row>
    <row r="59" spans="1:4" x14ac:dyDescent="0.25">
      <c r="A59" s="89" t="s">
        <v>67</v>
      </c>
      <c r="B59" s="4">
        <v>2</v>
      </c>
      <c r="C59" s="91" t="s">
        <v>51</v>
      </c>
      <c r="D59" s="9"/>
    </row>
    <row r="60" spans="1:4" x14ac:dyDescent="0.25">
      <c r="A60" s="1" t="s">
        <v>70</v>
      </c>
      <c r="B60" s="2">
        <v>5</v>
      </c>
      <c r="C60" s="10" t="s">
        <v>50</v>
      </c>
      <c r="D60" s="10"/>
    </row>
    <row r="61" spans="1:4" x14ac:dyDescent="0.25">
      <c r="A61" s="90" t="s">
        <v>29</v>
      </c>
      <c r="B61" s="2">
        <v>1</v>
      </c>
      <c r="C61" s="92" t="s">
        <v>52</v>
      </c>
      <c r="D61" s="10"/>
    </row>
    <row r="62" spans="1:4" x14ac:dyDescent="0.25">
      <c r="A62" s="90" t="s">
        <v>40</v>
      </c>
      <c r="B62" s="2">
        <v>1</v>
      </c>
      <c r="C62" s="92" t="s">
        <v>53</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9</v>
      </c>
      <c r="C69" s="86" t="s">
        <v>27</v>
      </c>
      <c r="D69" s="13"/>
    </row>
    <row r="70" spans="1:4" ht="15" thickBot="1" x14ac:dyDescent="0.35">
      <c r="A70" s="14"/>
      <c r="B70" s="14"/>
      <c r="C70" s="14"/>
      <c r="D70" s="14"/>
    </row>
    <row r="71" spans="1:4" ht="18.75" thickBot="1" x14ac:dyDescent="0.3">
      <c r="A71" s="6" t="s">
        <v>14</v>
      </c>
      <c r="B71" s="7">
        <v>6</v>
      </c>
      <c r="C71" s="17"/>
      <c r="D71" s="85"/>
    </row>
    <row r="72" spans="1:4" ht="27.75" thickBot="1" x14ac:dyDescent="0.3">
      <c r="A72" s="8" t="s">
        <v>3</v>
      </c>
      <c r="B72" s="18" t="s">
        <v>15</v>
      </c>
      <c r="C72" s="8" t="s">
        <v>7</v>
      </c>
      <c r="D72" s="8" t="s">
        <v>13</v>
      </c>
    </row>
    <row r="73" spans="1:4" x14ac:dyDescent="0.25">
      <c r="A73" s="89" t="s">
        <v>70</v>
      </c>
      <c r="B73" s="4">
        <v>3</v>
      </c>
      <c r="C73" s="91" t="s">
        <v>54</v>
      </c>
      <c r="D73" s="9"/>
    </row>
    <row r="74" spans="1:4" x14ac:dyDescent="0.25">
      <c r="A74" s="90" t="s">
        <v>40</v>
      </c>
      <c r="B74" s="2">
        <v>5</v>
      </c>
      <c r="C74" s="92" t="s">
        <v>55</v>
      </c>
      <c r="D74" s="10"/>
    </row>
    <row r="75" spans="1:4" x14ac:dyDescent="0.25">
      <c r="A75" s="90" t="s">
        <v>29</v>
      </c>
      <c r="B75" s="2">
        <v>1</v>
      </c>
      <c r="C75" s="92" t="s">
        <v>56</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9</v>
      </c>
      <c r="C83" s="86" t="s">
        <v>27</v>
      </c>
      <c r="D83" s="13"/>
    </row>
    <row r="84" spans="1:4" ht="15" thickBot="1" x14ac:dyDescent="0.35">
      <c r="A84" s="14"/>
      <c r="B84" s="14"/>
      <c r="C84" s="14"/>
      <c r="D84" s="14"/>
    </row>
    <row r="85" spans="1:4" ht="18.75" thickBot="1" x14ac:dyDescent="0.3">
      <c r="A85" s="6" t="s">
        <v>14</v>
      </c>
      <c r="B85" s="7">
        <v>7</v>
      </c>
      <c r="C85" s="17"/>
      <c r="D85" s="85"/>
    </row>
    <row r="86" spans="1:4" ht="27.75" thickBot="1" x14ac:dyDescent="0.3">
      <c r="A86" s="8" t="s">
        <v>3</v>
      </c>
      <c r="B86" s="18" t="s">
        <v>15</v>
      </c>
      <c r="C86" s="8" t="s">
        <v>7</v>
      </c>
      <c r="D86" s="8" t="s">
        <v>13</v>
      </c>
    </row>
    <row r="87" spans="1:4" ht="27" x14ac:dyDescent="0.25">
      <c r="A87" s="89" t="s">
        <v>40</v>
      </c>
      <c r="B87" s="4">
        <v>6</v>
      </c>
      <c r="C87" s="91" t="s">
        <v>57</v>
      </c>
      <c r="D87" s="9"/>
    </row>
    <row r="88" spans="1:4" ht="27" x14ac:dyDescent="0.25">
      <c r="A88" s="90" t="s">
        <v>29</v>
      </c>
      <c r="B88" s="2">
        <v>3</v>
      </c>
      <c r="C88" s="92" t="s">
        <v>58</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9</v>
      </c>
      <c r="C97" s="86" t="s">
        <v>27</v>
      </c>
      <c r="D97" s="13"/>
    </row>
    <row r="98" spans="1:4" ht="15" thickBot="1" x14ac:dyDescent="0.35">
      <c r="A98" s="14"/>
      <c r="B98" s="14"/>
      <c r="C98" s="14"/>
      <c r="D98" s="14"/>
    </row>
    <row r="99" spans="1:4" ht="18.75" thickBot="1" x14ac:dyDescent="0.3">
      <c r="A99" s="6" t="s">
        <v>14</v>
      </c>
      <c r="B99" s="7">
        <v>8</v>
      </c>
      <c r="C99" s="17"/>
      <c r="D99" s="85"/>
    </row>
    <row r="100" spans="1:4" ht="27.75" thickBot="1" x14ac:dyDescent="0.3">
      <c r="A100" s="8" t="s">
        <v>3</v>
      </c>
      <c r="B100" s="18" t="s">
        <v>15</v>
      </c>
      <c r="C100" s="8" t="s">
        <v>7</v>
      </c>
      <c r="D100" s="8" t="s">
        <v>13</v>
      </c>
    </row>
    <row r="101" spans="1:4" ht="27" x14ac:dyDescent="0.25">
      <c r="A101" s="89" t="s">
        <v>59</v>
      </c>
      <c r="B101" s="4">
        <v>5</v>
      </c>
      <c r="C101" s="91" t="s">
        <v>61</v>
      </c>
      <c r="D101" s="9"/>
    </row>
    <row r="102" spans="1:4" x14ac:dyDescent="0.25">
      <c r="A102" s="90" t="s">
        <v>60</v>
      </c>
      <c r="B102" s="2">
        <v>3</v>
      </c>
      <c r="C102" s="92" t="s">
        <v>62</v>
      </c>
      <c r="D102" s="10"/>
    </row>
    <row r="103" spans="1:4" x14ac:dyDescent="0.25">
      <c r="A103" s="90" t="s">
        <v>79</v>
      </c>
      <c r="B103" s="2">
        <v>1</v>
      </c>
      <c r="C103" s="92" t="s">
        <v>63</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9</v>
      </c>
      <c r="C111" s="86" t="s">
        <v>27</v>
      </c>
      <c r="D111" s="13"/>
    </row>
    <row r="112" spans="1:4" ht="14.25" x14ac:dyDescent="0.3">
      <c r="A112" s="14"/>
      <c r="B112" s="14"/>
      <c r="C112" s="14"/>
      <c r="D112" s="14"/>
    </row>
    <row r="113" spans="1:1" x14ac:dyDescent="0.25">
      <c r="A113" s="87" t="s">
        <v>28</v>
      </c>
    </row>
  </sheetData>
  <sheetProtection sheet="1" objects="1" scenarios="1" insertRows="0" selectLockedCells="1"/>
  <dataValidations count="4">
    <dataValidation type="list" allowBlank="1" showInputMessage="1" showErrorMessage="1" sqref="A3:A12 A17:A26 A31:A40 A45:A54 A59:A68 A73:A82 A87:A96 A101:A110" xr:uid="{35487018-41F5-4036-8080-195ABBC8F1F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BDAFC0A0-1FB5-434C-B4BC-A4A426F7561F}">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87A1D46A-606F-4EC4-AEDD-FC3E90EA018C}">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09C5E51-AF1C-4A2A-86DE-37C14C306B06}">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row>
    <row r="2" spans="1:4" ht="27.7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72E07-6D8B-48B1-AB12-10BF13D6BFC2}">
  <sheetPr codeName="Feuil9"/>
  <dimension ref="A1:H153"/>
  <sheetViews>
    <sheetView tabSelected="1" topLeftCell="A122" workbookViewId="0">
      <selection activeCell="C142" sqref="C142"/>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f>Donnees!$C$9</f>
        <v>45532</v>
      </c>
    </row>
    <row r="2" spans="1:4" ht="27.75" thickBot="1" x14ac:dyDescent="0.3">
      <c r="A2" s="45" t="s">
        <v>3</v>
      </c>
      <c r="B2" s="46" t="s">
        <v>15</v>
      </c>
      <c r="C2" s="45" t="s">
        <v>7</v>
      </c>
      <c r="D2" s="45" t="s">
        <v>13</v>
      </c>
    </row>
    <row r="3" spans="1:4" s="52" customFormat="1" ht="27" x14ac:dyDescent="0.25">
      <c r="A3" s="89" t="s">
        <v>35</v>
      </c>
      <c r="B3" s="4">
        <v>2</v>
      </c>
      <c r="C3" s="91" t="s">
        <v>77</v>
      </c>
      <c r="D3" s="9"/>
    </row>
    <row r="4" spans="1:4" s="52" customFormat="1" ht="27" x14ac:dyDescent="0.25">
      <c r="A4" s="90" t="s">
        <v>36</v>
      </c>
      <c r="B4" s="2">
        <v>2</v>
      </c>
      <c r="C4" s="92" t="s">
        <v>80</v>
      </c>
      <c r="D4" s="10"/>
    </row>
    <row r="5" spans="1:4" s="52" customFormat="1" ht="30" customHeight="1" x14ac:dyDescent="0.25">
      <c r="A5" s="90" t="s">
        <v>37</v>
      </c>
      <c r="B5" s="2">
        <v>2</v>
      </c>
      <c r="C5" s="92" t="s">
        <v>81</v>
      </c>
      <c r="D5" s="10"/>
    </row>
    <row r="6" spans="1:4" s="52" customFormat="1" ht="27" x14ac:dyDescent="0.25">
      <c r="A6" s="90" t="s">
        <v>31</v>
      </c>
      <c r="B6" s="2">
        <v>3</v>
      </c>
      <c r="C6" s="92" t="s">
        <v>38</v>
      </c>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9</v>
      </c>
      <c r="C18" s="88" t="s">
        <v>27</v>
      </c>
      <c r="D18" s="48"/>
    </row>
    <row r="19" spans="1:8" ht="15" thickBot="1" x14ac:dyDescent="0.35">
      <c r="A19" s="49"/>
      <c r="B19" s="49"/>
      <c r="C19" s="49"/>
      <c r="D19" s="49"/>
    </row>
    <row r="20" spans="1:8" ht="18.75" thickBot="1" x14ac:dyDescent="0.3">
      <c r="A20" s="42" t="s">
        <v>14</v>
      </c>
      <c r="B20" s="43">
        <v>2</v>
      </c>
      <c r="C20" s="44" t="s">
        <v>23</v>
      </c>
      <c r="D20" s="53">
        <f>$D$1+7</f>
        <v>45539</v>
      </c>
    </row>
    <row r="21" spans="1:8" ht="27.75" thickBot="1" x14ac:dyDescent="0.3">
      <c r="A21" s="45" t="s">
        <v>3</v>
      </c>
      <c r="B21" s="46" t="s">
        <v>15</v>
      </c>
      <c r="C21" s="45" t="s">
        <v>7</v>
      </c>
      <c r="D21" s="45" t="s">
        <v>13</v>
      </c>
    </row>
    <row r="22" spans="1:8" x14ac:dyDescent="0.25">
      <c r="A22" s="89" t="s">
        <v>37</v>
      </c>
      <c r="B22" s="4">
        <v>2</v>
      </c>
      <c r="C22" s="91" t="s">
        <v>82</v>
      </c>
      <c r="D22" s="9"/>
    </row>
    <row r="23" spans="1:8" x14ac:dyDescent="0.25">
      <c r="A23" s="90" t="s">
        <v>39</v>
      </c>
      <c r="B23" s="2">
        <v>6</v>
      </c>
      <c r="C23" s="92" t="s">
        <v>64</v>
      </c>
      <c r="D23" s="10"/>
    </row>
    <row r="24" spans="1:8" x14ac:dyDescent="0.25">
      <c r="A24" s="90" t="s">
        <v>29</v>
      </c>
      <c r="B24" s="2">
        <v>1</v>
      </c>
      <c r="C24" s="92" t="s">
        <v>83</v>
      </c>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22</v>
      </c>
      <c r="B37" s="47">
        <f>SUM(B22:B36)</f>
        <v>9</v>
      </c>
      <c r="C37" s="88" t="s">
        <v>27</v>
      </c>
      <c r="D37" s="48"/>
    </row>
    <row r="38" spans="1:8" ht="15" thickBot="1" x14ac:dyDescent="0.35">
      <c r="A38" s="49"/>
      <c r="B38" s="49"/>
      <c r="C38" s="49"/>
      <c r="D38" s="49"/>
    </row>
    <row r="39" spans="1:8" ht="18.75" thickBot="1" x14ac:dyDescent="0.3">
      <c r="A39" s="42" t="s">
        <v>14</v>
      </c>
      <c r="B39" s="43">
        <v>3</v>
      </c>
      <c r="C39" s="44" t="s">
        <v>23</v>
      </c>
      <c r="D39" s="53">
        <f>$D$20+7</f>
        <v>45546</v>
      </c>
    </row>
    <row r="40" spans="1:8" ht="27.75" thickBot="1" x14ac:dyDescent="0.3">
      <c r="A40" s="45" t="s">
        <v>3</v>
      </c>
      <c r="B40" s="46" t="s">
        <v>15</v>
      </c>
      <c r="C40" s="45" t="s">
        <v>7</v>
      </c>
      <c r="D40" s="45" t="s">
        <v>13</v>
      </c>
    </row>
    <row r="41" spans="1:8" ht="27" x14ac:dyDescent="0.25">
      <c r="A41" s="89" t="s">
        <v>31</v>
      </c>
      <c r="B41" s="4">
        <v>8</v>
      </c>
      <c r="C41" s="91" t="s">
        <v>84</v>
      </c>
      <c r="D41" s="9"/>
    </row>
    <row r="42" spans="1:8" x14ac:dyDescent="0.25">
      <c r="A42" s="90" t="s">
        <v>29</v>
      </c>
      <c r="B42" s="2">
        <v>1</v>
      </c>
      <c r="C42" s="92" t="s">
        <v>85</v>
      </c>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22</v>
      </c>
      <c r="B56" s="47">
        <f>SUM(B41:B55)</f>
        <v>9</v>
      </c>
      <c r="C56" s="88" t="s">
        <v>27</v>
      </c>
      <c r="D56" s="48"/>
    </row>
    <row r="57" spans="1:4" ht="15" thickBot="1" x14ac:dyDescent="0.35">
      <c r="A57" s="49"/>
      <c r="B57" s="49"/>
      <c r="C57" s="49"/>
      <c r="D57" s="49"/>
    </row>
    <row r="58" spans="1:4" ht="18.75" thickBot="1" x14ac:dyDescent="0.3">
      <c r="A58" s="42" t="s">
        <v>14</v>
      </c>
      <c r="B58" s="43">
        <v>4</v>
      </c>
      <c r="C58" s="44" t="s">
        <v>23</v>
      </c>
      <c r="D58" s="53">
        <f>$D$39+7</f>
        <v>45553</v>
      </c>
    </row>
    <row r="59" spans="1:4" ht="27.75" thickBot="1" x14ac:dyDescent="0.3">
      <c r="A59" s="45" t="s">
        <v>3</v>
      </c>
      <c r="B59" s="46" t="s">
        <v>15</v>
      </c>
      <c r="C59" s="45" t="s">
        <v>7</v>
      </c>
      <c r="D59" s="45" t="s">
        <v>13</v>
      </c>
    </row>
    <row r="60" spans="1:4" ht="32.450000000000003" customHeight="1" x14ac:dyDescent="0.25">
      <c r="A60" s="89" t="s">
        <v>65</v>
      </c>
      <c r="B60" s="4">
        <v>3</v>
      </c>
      <c r="C60" s="91" t="s">
        <v>87</v>
      </c>
      <c r="D60" s="91" t="s">
        <v>66</v>
      </c>
    </row>
    <row r="61" spans="1:4" ht="27" x14ac:dyDescent="0.25">
      <c r="A61" s="90" t="s">
        <v>67</v>
      </c>
      <c r="B61" s="2">
        <v>1</v>
      </c>
      <c r="C61" s="92" t="s">
        <v>68</v>
      </c>
      <c r="D61" s="92" t="s">
        <v>72</v>
      </c>
    </row>
    <row r="62" spans="1:4" ht="42.6" customHeight="1" x14ac:dyDescent="0.25">
      <c r="A62" s="90" t="s">
        <v>31</v>
      </c>
      <c r="B62" s="2">
        <v>5</v>
      </c>
      <c r="C62" s="92" t="s">
        <v>86</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22</v>
      </c>
      <c r="B75" s="47">
        <f>SUM(B60:B74)</f>
        <v>9</v>
      </c>
      <c r="C75" s="88" t="s">
        <v>27</v>
      </c>
      <c r="D75" s="48"/>
    </row>
    <row r="76" spans="1:4" ht="15" thickBot="1" x14ac:dyDescent="0.35">
      <c r="A76" s="49"/>
      <c r="B76" s="49"/>
      <c r="C76" s="49"/>
      <c r="D76" s="49"/>
    </row>
    <row r="77" spans="1:4" ht="18.75" thickBot="1" x14ac:dyDescent="0.3">
      <c r="A77" s="42" t="s">
        <v>14</v>
      </c>
      <c r="B77" s="43">
        <v>5</v>
      </c>
      <c r="C77" s="44" t="s">
        <v>23</v>
      </c>
      <c r="D77" s="53">
        <f>$D$58+7</f>
        <v>45560</v>
      </c>
    </row>
    <row r="78" spans="1:4" ht="27.75" thickBot="1" x14ac:dyDescent="0.3">
      <c r="A78" s="45" t="s">
        <v>3</v>
      </c>
      <c r="B78" s="46" t="s">
        <v>15</v>
      </c>
      <c r="C78" s="45" t="s">
        <v>7</v>
      </c>
      <c r="D78" s="45" t="s">
        <v>13</v>
      </c>
    </row>
    <row r="79" spans="1:4" x14ac:dyDescent="0.25">
      <c r="A79" s="89" t="s">
        <v>69</v>
      </c>
      <c r="B79" s="4">
        <v>6</v>
      </c>
      <c r="C79" s="91" t="s">
        <v>88</v>
      </c>
      <c r="D79" s="9"/>
    </row>
    <row r="80" spans="1:4" ht="40.5" x14ac:dyDescent="0.25">
      <c r="A80" s="90" t="s">
        <v>70</v>
      </c>
      <c r="B80" s="2">
        <v>3</v>
      </c>
      <c r="C80" s="92" t="s">
        <v>71</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22</v>
      </c>
      <c r="B94" s="47">
        <f>SUM(B79:B93)</f>
        <v>9</v>
      </c>
      <c r="C94" s="88" t="s">
        <v>27</v>
      </c>
      <c r="D94" s="48"/>
    </row>
    <row r="95" spans="1:4" ht="15" thickBot="1" x14ac:dyDescent="0.35">
      <c r="A95" s="49"/>
      <c r="B95" s="49"/>
      <c r="C95" s="49"/>
      <c r="D95" s="49"/>
    </row>
    <row r="96" spans="1:4" ht="18.75" thickBot="1" x14ac:dyDescent="0.3">
      <c r="A96" s="42" t="s">
        <v>14</v>
      </c>
      <c r="B96" s="43">
        <v>6</v>
      </c>
      <c r="C96" s="44" t="s">
        <v>23</v>
      </c>
      <c r="D96" s="53">
        <f>$D$77+7</f>
        <v>45567</v>
      </c>
    </row>
    <row r="97" spans="1:4" ht="27.75" thickBot="1" x14ac:dyDescent="0.3">
      <c r="A97" s="45" t="s">
        <v>3</v>
      </c>
      <c r="B97" s="46" t="s">
        <v>15</v>
      </c>
      <c r="C97" s="45" t="s">
        <v>7</v>
      </c>
      <c r="D97" s="45" t="s">
        <v>13</v>
      </c>
    </row>
    <row r="98" spans="1:4" x14ac:dyDescent="0.25">
      <c r="A98" s="89" t="s">
        <v>67</v>
      </c>
      <c r="B98" s="4">
        <v>2</v>
      </c>
      <c r="C98" s="91" t="s">
        <v>74</v>
      </c>
      <c r="D98" s="91" t="s">
        <v>73</v>
      </c>
    </row>
    <row r="99" spans="1:4" x14ac:dyDescent="0.25">
      <c r="A99" s="90" t="s">
        <v>70</v>
      </c>
      <c r="B99" s="2">
        <v>2</v>
      </c>
      <c r="C99" s="92" t="s">
        <v>75</v>
      </c>
      <c r="D99" s="10"/>
    </row>
    <row r="100" spans="1:4" ht="27" x14ac:dyDescent="0.25">
      <c r="A100" s="90" t="s">
        <v>40</v>
      </c>
      <c r="B100" s="2">
        <v>5</v>
      </c>
      <c r="C100" s="92" t="s">
        <v>76</v>
      </c>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22</v>
      </c>
      <c r="B113" s="47">
        <f>SUM(B98:B112)</f>
        <v>9</v>
      </c>
      <c r="C113" s="88" t="s">
        <v>27</v>
      </c>
      <c r="D113" s="48"/>
    </row>
    <row r="114" spans="1:4" ht="15" thickBot="1" x14ac:dyDescent="0.35">
      <c r="A114" s="49"/>
      <c r="B114" s="49"/>
      <c r="C114" s="49"/>
      <c r="D114" s="49"/>
    </row>
    <row r="115" spans="1:4" ht="18.75" thickBot="1" x14ac:dyDescent="0.3">
      <c r="A115" s="42" t="s">
        <v>14</v>
      </c>
      <c r="B115" s="43">
        <v>7</v>
      </c>
      <c r="C115" s="44" t="s">
        <v>23</v>
      </c>
      <c r="D115" s="53">
        <f>$D$96+7</f>
        <v>45574</v>
      </c>
    </row>
    <row r="116" spans="1:4" ht="27.75" thickBot="1" x14ac:dyDescent="0.3">
      <c r="A116" s="45" t="s">
        <v>3</v>
      </c>
      <c r="B116" s="46" t="s">
        <v>15</v>
      </c>
      <c r="C116" s="45" t="s">
        <v>7</v>
      </c>
      <c r="D116" s="45" t="s">
        <v>13</v>
      </c>
    </row>
    <row r="117" spans="1:4" ht="45.6" customHeight="1" x14ac:dyDescent="0.25">
      <c r="A117" s="89" t="s">
        <v>67</v>
      </c>
      <c r="B117" s="4">
        <v>2</v>
      </c>
      <c r="C117" s="91" t="s">
        <v>89</v>
      </c>
      <c r="D117" s="9"/>
    </row>
    <row r="118" spans="1:4" ht="33" customHeight="1" x14ac:dyDescent="0.25">
      <c r="A118" s="90" t="s">
        <v>40</v>
      </c>
      <c r="B118" s="2">
        <v>7</v>
      </c>
      <c r="C118" s="92" t="s">
        <v>90</v>
      </c>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22</v>
      </c>
      <c r="B132" s="47">
        <f>SUM(B117:B131)</f>
        <v>9</v>
      </c>
      <c r="C132" s="88" t="s">
        <v>27</v>
      </c>
      <c r="D132" s="48"/>
    </row>
    <row r="133" spans="1:4" ht="15" thickBot="1" x14ac:dyDescent="0.35">
      <c r="A133" s="49"/>
      <c r="B133" s="49"/>
      <c r="C133" s="49"/>
      <c r="D133" s="49"/>
    </row>
    <row r="134" spans="1:4" ht="18.75" thickBot="1" x14ac:dyDescent="0.3">
      <c r="A134" s="42" t="s">
        <v>14</v>
      </c>
      <c r="B134" s="43">
        <v>8</v>
      </c>
      <c r="C134" s="44" t="s">
        <v>23</v>
      </c>
      <c r="D134" s="53">
        <f>$D$115+7</f>
        <v>45581</v>
      </c>
    </row>
    <row r="135" spans="1:4" ht="27.75" thickBot="1" x14ac:dyDescent="0.3">
      <c r="A135" s="45" t="s">
        <v>3</v>
      </c>
      <c r="B135" s="46" t="s">
        <v>15</v>
      </c>
      <c r="C135" s="45" t="s">
        <v>7</v>
      </c>
      <c r="D135" s="45" t="s">
        <v>13</v>
      </c>
    </row>
    <row r="136" spans="1:4" ht="27" x14ac:dyDescent="0.25">
      <c r="A136" s="98" t="s">
        <v>70</v>
      </c>
      <c r="B136" s="50">
        <v>2</v>
      </c>
      <c r="C136" s="99" t="s">
        <v>93</v>
      </c>
      <c r="D136" s="9"/>
    </row>
    <row r="137" spans="1:4" x14ac:dyDescent="0.25">
      <c r="A137" s="100" t="s">
        <v>29</v>
      </c>
      <c r="B137" s="101">
        <v>2</v>
      </c>
      <c r="C137" s="102" t="s">
        <v>92</v>
      </c>
      <c r="D137" s="97"/>
    </row>
    <row r="138" spans="1:4" ht="27" x14ac:dyDescent="0.25">
      <c r="A138" s="103" t="s">
        <v>40</v>
      </c>
      <c r="B138" s="101">
        <v>5</v>
      </c>
      <c r="C138" s="102" t="s">
        <v>91</v>
      </c>
      <c r="D138" s="97"/>
    </row>
    <row r="139" spans="1:4" x14ac:dyDescent="0.25">
      <c r="A139" s="107"/>
      <c r="B139" s="107"/>
      <c r="C139" s="107"/>
      <c r="D139" s="97"/>
    </row>
    <row r="140" spans="1:4" x14ac:dyDescent="0.25">
      <c r="A140" s="104"/>
      <c r="B140" s="105"/>
      <c r="C140" s="106"/>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22</v>
      </c>
      <c r="B151" s="47">
        <f>SUM(B137:B150)</f>
        <v>7</v>
      </c>
      <c r="C151" s="88" t="s">
        <v>27</v>
      </c>
      <c r="D151" s="48"/>
    </row>
    <row r="152" spans="1:4" ht="14.25" x14ac:dyDescent="0.3">
      <c r="A152" s="49"/>
      <c r="B152" s="49"/>
      <c r="C152" s="49"/>
      <c r="D152" s="49"/>
    </row>
    <row r="153" spans="1:4" x14ac:dyDescent="0.25">
      <c r="A153" s="87"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EFC2F16-3938-4C50-8CC7-D1492627846A}">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38 B140:B150" xr:uid="{C36DD1F1-940A-4BCE-8744-2126CD9AB5F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5DBE85C5-3154-4D91-A6E2-56866B486368}">
      <formula1>0</formula1>
      <formula2>NbPerWeek * NbQuartPer</formula2>
    </dataValidation>
    <dataValidation type="list" allowBlank="1" showInputMessage="1" showErrorMessage="1" sqref="A3:A17 A22:A36 A41:A55 A60:A74 A79:A93 A98:A112 A117:A131 A136:A138 A140:A150" xr:uid="{B6D6194F-F74F-4D1B-9846-54206FAEF078}">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2024-10-28T13:18:07Z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